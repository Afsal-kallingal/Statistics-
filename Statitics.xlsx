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" sheetId="1" r:id="rId4"/>
    <sheet state="visible" name="median" sheetId="2" r:id="rId5"/>
    <sheet state="visible" name="Mode" sheetId="3" r:id="rId6"/>
    <sheet state="visible" name="Mean Deviation" sheetId="4" r:id="rId7"/>
    <sheet state="visible" name="Quartiles" sheetId="5" r:id="rId8"/>
    <sheet state="visible" name="Standard deviation" sheetId="6" r:id="rId9"/>
    <sheet state="visible" name="Correlation" sheetId="7" r:id="rId10"/>
    <sheet state="visible" name="spearman rank correlation coefi" sheetId="8" r:id="rId11"/>
  </sheets>
  <definedNames/>
  <calcPr/>
</workbook>
</file>

<file path=xl/sharedStrings.xml><?xml version="1.0" encoding="utf-8"?>
<sst xmlns="http://schemas.openxmlformats.org/spreadsheetml/2006/main" count="739" uniqueCount="173">
  <si>
    <t>marks</t>
  </si>
  <si>
    <t>no;students</t>
  </si>
  <si>
    <t>xm</t>
  </si>
  <si>
    <t>fxm</t>
  </si>
  <si>
    <t>cf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</si>
  <si>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</si>
  <si>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</si>
  <si>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</si>
  <si>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</si>
  <si>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</si>
  <si>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</si>
  <si>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</si>
  <si>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</si>
  <si>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</si>
  <si>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</si>
  <si>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n</t>
  </si>
  <si>
    <t>sum</t>
  </si>
  <si>
    <t>mean=</t>
  </si>
  <si>
    <t>2=</t>
  </si>
  <si>
    <t>no:students</t>
  </si>
  <si>
    <t>0-10</t>
  </si>
  <si>
    <t>10-20</t>
  </si>
  <si>
    <t>20-30</t>
  </si>
  <si>
    <t>30-40</t>
  </si>
  <si>
    <t>40-50</t>
  </si>
  <si>
    <t>mean</t>
  </si>
  <si>
    <t>4=</t>
  </si>
  <si>
    <t>class</t>
  </si>
  <si>
    <t>fq</t>
  </si>
  <si>
    <t>84-90</t>
  </si>
  <si>
    <t>90-96</t>
  </si>
  <si>
    <t>96-102</t>
  </si>
  <si>
    <t>102-108</t>
  </si>
  <si>
    <t>108-114</t>
  </si>
  <si>
    <t>114-120</t>
  </si>
  <si>
    <t>5=</t>
  </si>
  <si>
    <t>frqncy</t>
  </si>
  <si>
    <t>0-100</t>
  </si>
  <si>
    <t>100-200</t>
  </si>
  <si>
    <t>200-300</t>
  </si>
  <si>
    <t>300-400</t>
  </si>
  <si>
    <t>400-500</t>
  </si>
  <si>
    <t>6=</t>
  </si>
  <si>
    <t>25-35</t>
  </si>
  <si>
    <t>35-45</t>
  </si>
  <si>
    <t>45-55</t>
  </si>
  <si>
    <t>55-65</t>
  </si>
  <si>
    <t>65-75</t>
  </si>
  <si>
    <t>7=</t>
  </si>
  <si>
    <t>50-60</t>
  </si>
  <si>
    <t>8=</t>
  </si>
  <si>
    <t>frequency</t>
  </si>
  <si>
    <t>n=</t>
  </si>
  <si>
    <t>1=</t>
  </si>
  <si>
    <t>n/2</t>
  </si>
  <si>
    <t>median=</t>
  </si>
  <si>
    <t>l</t>
  </si>
  <si>
    <t>f</t>
  </si>
  <si>
    <t>h</t>
  </si>
  <si>
    <t>l=</t>
  </si>
  <si>
    <t>L</t>
  </si>
  <si>
    <t>CF</t>
  </si>
  <si>
    <t>F</t>
  </si>
  <si>
    <t>H</t>
  </si>
  <si>
    <t>(n/2-cf)/f</t>
  </si>
  <si>
    <t>l+( )*h</t>
  </si>
  <si>
    <t>mode</t>
  </si>
  <si>
    <t>fi-f0</t>
  </si>
  <si>
    <t>2f</t>
  </si>
  <si>
    <t>(2f1-f0-f2)</t>
  </si>
  <si>
    <t>l+()*h</t>
  </si>
  <si>
    <t>f1</t>
  </si>
  <si>
    <t>f2</t>
  </si>
  <si>
    <t>mode=</t>
  </si>
  <si>
    <t>f0</t>
  </si>
  <si>
    <t>F1</t>
  </si>
  <si>
    <t>F0</t>
  </si>
  <si>
    <t>F2</t>
  </si>
  <si>
    <t>Mean Deviation</t>
  </si>
  <si>
    <t>XI</t>
  </si>
  <si>
    <t>X.F</t>
  </si>
  <si>
    <t>|XI-X|</t>
  </si>
  <si>
    <t>F\XI-X|</t>
  </si>
  <si>
    <t>Total=</t>
  </si>
  <si>
    <t xml:space="preserve">MAD </t>
  </si>
  <si>
    <t>questian</t>
  </si>
  <si>
    <t>|Xi-X|/N</t>
  </si>
  <si>
    <t>total</t>
  </si>
  <si>
    <t>MAD=</t>
  </si>
  <si>
    <t>total=</t>
  </si>
  <si>
    <t>n=30</t>
  </si>
  <si>
    <t>question 3</t>
  </si>
  <si>
    <t>xi</t>
  </si>
  <si>
    <t>|xi-x|</t>
  </si>
  <si>
    <t>sum=</t>
  </si>
  <si>
    <t>3=</t>
  </si>
  <si>
    <t>x.f</t>
  </si>
  <si>
    <t>|xi-x|.f</t>
  </si>
  <si>
    <t>M.A.D=</t>
  </si>
  <si>
    <t>mad=</t>
  </si>
  <si>
    <t>xi-x</t>
  </si>
  <si>
    <t>xi-x.f</t>
  </si>
  <si>
    <t>mad==</t>
  </si>
  <si>
    <t>(1/4)*(n+1)</t>
  </si>
  <si>
    <t>q3-q1</t>
  </si>
  <si>
    <t>(3/4)*n+1</t>
  </si>
  <si>
    <t>q1</t>
  </si>
  <si>
    <t>q2</t>
  </si>
  <si>
    <t>q3</t>
  </si>
  <si>
    <t>x1</t>
  </si>
  <si>
    <t>x^2</t>
  </si>
  <si>
    <t>x^2/n</t>
  </si>
  <si>
    <t>(x/n)^2</t>
  </si>
  <si>
    <t>continus series</t>
  </si>
  <si>
    <t>x2</t>
  </si>
  <si>
    <t>x2/n</t>
  </si>
  <si>
    <t>(x/n)2</t>
  </si>
  <si>
    <t>stndrd=</t>
  </si>
  <si>
    <t>correlation</t>
  </si>
  <si>
    <t>qstn</t>
  </si>
  <si>
    <t>price in rupees x</t>
  </si>
  <si>
    <t>demans (in kg) Y</t>
  </si>
  <si>
    <t>answr</t>
  </si>
  <si>
    <t>xy</t>
  </si>
  <si>
    <t>y^2</t>
  </si>
  <si>
    <t>n(xy)=</t>
  </si>
  <si>
    <t>x*y</t>
  </si>
  <si>
    <t>corelltn=</t>
  </si>
  <si>
    <t>sums</t>
  </si>
  <si>
    <t>mark obtained</t>
  </si>
  <si>
    <t>students</t>
  </si>
  <si>
    <t>answr=</t>
  </si>
  <si>
    <t>r=</t>
  </si>
  <si>
    <t>size</t>
  </si>
  <si>
    <t>freeqncy</t>
  </si>
  <si>
    <t>mark</t>
  </si>
  <si>
    <t>number of students</t>
  </si>
  <si>
    <t>n=10</t>
  </si>
  <si>
    <t>corelatn =</t>
  </si>
  <si>
    <t>math</t>
  </si>
  <si>
    <t>science</t>
  </si>
  <si>
    <t>amswr=</t>
  </si>
  <si>
    <t>iq</t>
  </si>
  <si>
    <t>rock</t>
  </si>
  <si>
    <t>y2</t>
  </si>
  <si>
    <t>hour played sport</t>
  </si>
  <si>
    <t>test</t>
  </si>
  <si>
    <t>hour of sleep</t>
  </si>
  <si>
    <t>test score</t>
  </si>
  <si>
    <t>9=</t>
  </si>
  <si>
    <t>mnth owned</t>
  </si>
  <si>
    <t>hours expired</t>
  </si>
  <si>
    <t>10=</t>
  </si>
  <si>
    <t>range</t>
  </si>
  <si>
    <t>bmi</t>
  </si>
  <si>
    <t>11=</t>
  </si>
  <si>
    <t>life exp</t>
  </si>
  <si>
    <t>cigrets</t>
  </si>
  <si>
    <t>12=</t>
  </si>
  <si>
    <t>no:credit</t>
  </si>
  <si>
    <t>x</t>
  </si>
  <si>
    <t>y</t>
  </si>
  <si>
    <t>D=rx-ry</t>
  </si>
  <si>
    <t>rs=1-(6(d))/n(n^2-1</t>
  </si>
  <si>
    <t>rx</t>
  </si>
  <si>
    <t>ry</t>
  </si>
  <si>
    <t>d</t>
  </si>
  <si>
    <t>d^2</t>
  </si>
  <si>
    <t>Rs=</t>
  </si>
  <si>
    <t>d2</t>
  </si>
  <si>
    <t>rs=</t>
  </si>
  <si>
    <t xml:space="preserve">another egtn </t>
  </si>
  <si>
    <t>for repitation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</si>
</sst>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0" xfId="0" applyFont="1"/>
    <xf borderId="1" fillId="3" fontId="1" numFmtId="0" xfId="0" applyAlignment="1" applyBorder="1" applyFill="1" applyFont="1">
      <alignment readingOrder="0"/>
    </xf>
    <xf borderId="1" fillId="3" fontId="1" numFmtId="0" xfId="0" applyBorder="1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1" fillId="6" fontId="1" numFmtId="0" xfId="0" applyAlignment="1" applyBorder="1" applyFill="1" applyFont="1">
      <alignment readingOrder="0"/>
    </xf>
    <xf borderId="1" fillId="6" fontId="1" numFmtId="0" xfId="0" applyBorder="1" applyFont="1"/>
    <xf borderId="1" fillId="7" fontId="1" numFmtId="0" xfId="0" applyAlignment="1" applyBorder="1" applyFill="1" applyFont="1">
      <alignment readingOrder="0"/>
    </xf>
    <xf borderId="1" fillId="7" fontId="1" numFmtId="0" xfId="0" applyBorder="1" applyFont="1"/>
    <xf borderId="1" fillId="8" fontId="1" numFmtId="0" xfId="0" applyAlignment="1" applyBorder="1" applyFill="1" applyFont="1">
      <alignment readingOrder="0"/>
    </xf>
    <xf borderId="1" fillId="8" fontId="1" numFmtId="0" xfId="0" applyBorder="1" applyFont="1"/>
    <xf borderId="1" fillId="8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2" fillId="0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4" fillId="3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4" fillId="4" fontId="2" numFmtId="0" xfId="0" applyAlignment="1" applyBorder="1" applyFont="1">
      <alignment horizontal="right" vertical="bottom"/>
    </xf>
    <xf borderId="3" fillId="5" fontId="2" numFmtId="0" xfId="0" applyAlignment="1" applyBorder="1" applyFont="1">
      <alignment vertical="bottom"/>
    </xf>
    <xf borderId="4" fillId="5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vertical="bottom"/>
    </xf>
    <xf borderId="4" fillId="6" fontId="2" numFmtId="0" xfId="0" applyAlignment="1" applyBorder="1" applyFont="1">
      <alignment vertical="bottom"/>
    </xf>
    <xf borderId="4" fillId="6" fontId="2" numFmtId="0" xfId="0" applyAlignment="1" applyBorder="1" applyFont="1">
      <alignment horizontal="right" vertical="bottom"/>
    </xf>
    <xf borderId="3" fillId="7" fontId="2" numFmtId="0" xfId="0" applyAlignment="1" applyBorder="1" applyFont="1">
      <alignment vertical="bottom"/>
    </xf>
    <xf borderId="4" fillId="7" fontId="2" numFmtId="0" xfId="0" applyAlignment="1" applyBorder="1" applyFont="1">
      <alignment vertical="bottom"/>
    </xf>
    <xf borderId="4" fillId="7" fontId="2" numFmtId="0" xfId="0" applyAlignment="1" applyBorder="1" applyFont="1">
      <alignment horizontal="right" vertical="bottom"/>
    </xf>
    <xf borderId="3" fillId="8" fontId="2" numFmtId="0" xfId="0" applyAlignment="1" applyBorder="1" applyFont="1">
      <alignment vertical="bottom"/>
    </xf>
    <xf borderId="4" fillId="8" fontId="2" numFmtId="0" xfId="0" applyAlignment="1" applyBorder="1" applyFont="1">
      <alignment vertical="bottom"/>
    </xf>
    <xf borderId="4" fillId="8" fontId="2" numFmtId="164" xfId="0" applyAlignment="1" applyBorder="1" applyFont="1" applyNumberFormat="1">
      <alignment horizontal="right" vertical="bottom"/>
    </xf>
    <xf borderId="4" fillId="8" fontId="2" numFmtId="0" xfId="0" applyAlignment="1" applyBorder="1" applyFont="1">
      <alignment horizontal="right" vertical="bottom"/>
    </xf>
    <xf borderId="2" fillId="9" fontId="2" numFmtId="0" xfId="0" applyAlignment="1" applyBorder="1" applyFill="1" applyFont="1">
      <alignment vertical="bottom"/>
    </xf>
    <xf borderId="4" fillId="9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3" fillId="10" fontId="2" numFmtId="0" xfId="0" applyAlignment="1" applyBorder="1" applyFill="1" applyFont="1">
      <alignment horizontal="right" vertical="bottom"/>
    </xf>
    <xf borderId="4" fillId="10" fontId="2" numFmtId="0" xfId="0" applyAlignment="1" applyBorder="1" applyFont="1">
      <alignment horizontal="right" vertical="bottom"/>
    </xf>
    <xf borderId="3" fillId="10" fontId="2" numFmtId="0" xfId="0" applyAlignment="1" applyBorder="1" applyFont="1">
      <alignment vertical="bottom"/>
    </xf>
    <xf borderId="4" fillId="10" fontId="2" numFmtId="0" xfId="0" applyAlignment="1" applyBorder="1" applyFont="1">
      <alignment vertical="bottom"/>
    </xf>
    <xf borderId="4" fillId="11" fontId="2" numFmtId="0" xfId="0" applyAlignment="1" applyBorder="1" applyFill="1" applyFont="1">
      <alignment vertical="bottom"/>
    </xf>
    <xf borderId="2" fillId="11" fontId="2" numFmtId="0" xfId="0" applyAlignment="1" applyBorder="1" applyFont="1">
      <alignment vertical="bottom"/>
    </xf>
    <xf borderId="4" fillId="11" fontId="2" numFmtId="0" xfId="0" applyAlignment="1" applyBorder="1" applyFont="1">
      <alignment horizontal="right" vertical="bottom"/>
    </xf>
    <xf borderId="5" fillId="11" fontId="2" numFmtId="0" xfId="0" applyAlignment="1" applyBorder="1" applyFont="1">
      <alignment vertical="bottom"/>
    </xf>
    <xf borderId="0" fillId="11" fontId="2" numFmtId="0" xfId="0" applyAlignment="1" applyFont="1">
      <alignment horizontal="right" vertical="bottom"/>
    </xf>
    <xf borderId="2" fillId="12" fontId="2" numFmtId="0" xfId="0" applyAlignment="1" applyBorder="1" applyFill="1" applyFont="1">
      <alignment vertical="bottom"/>
    </xf>
    <xf borderId="6" fillId="13" fontId="2" numFmtId="0" xfId="0" applyAlignment="1" applyBorder="1" applyFill="1" applyFont="1">
      <alignment vertical="bottom"/>
    </xf>
    <xf borderId="2" fillId="13" fontId="2" numFmtId="0" xfId="0" applyAlignment="1" applyBorder="1" applyFont="1">
      <alignment vertical="bottom"/>
    </xf>
    <xf borderId="4" fillId="13" fontId="2" numFmtId="0" xfId="0" applyAlignment="1" applyBorder="1" applyFont="1">
      <alignment vertical="bottom"/>
    </xf>
    <xf borderId="3" fillId="3" fontId="2" numFmtId="0" xfId="0" applyAlignment="1" applyBorder="1" applyFont="1">
      <alignment horizontal="right" vertical="bottom"/>
    </xf>
    <xf borderId="6" fillId="9" fontId="2" numFmtId="0" xfId="0" applyAlignment="1" applyBorder="1" applyFont="1">
      <alignment vertical="bottom"/>
    </xf>
    <xf borderId="7" fillId="14" fontId="2" numFmtId="0" xfId="0" applyAlignment="1" applyBorder="1" applyFill="1" applyFont="1">
      <alignment horizontal="right" vertical="bottom"/>
    </xf>
    <xf borderId="5" fillId="14" fontId="2" numFmtId="0" xfId="0" applyAlignment="1" applyBorder="1" applyFont="1">
      <alignment horizontal="right" vertical="bottom"/>
    </xf>
    <xf borderId="6" fillId="14" fontId="2" numFmtId="0" xfId="0" applyAlignment="1" applyBorder="1" applyFont="1">
      <alignment horizontal="right" vertical="bottom"/>
    </xf>
    <xf borderId="4" fillId="14" fontId="2" numFmtId="0" xfId="0" applyAlignment="1" applyBorder="1" applyFont="1">
      <alignment horizontal="right" vertical="bottom"/>
    </xf>
    <xf borderId="0" fillId="15" fontId="2" numFmtId="0" xfId="0" applyAlignment="1" applyFill="1" applyFont="1">
      <alignment vertical="bottom"/>
    </xf>
    <xf borderId="0" fillId="15" fontId="2" numFmtId="0" xfId="0" applyAlignment="1" applyFont="1">
      <alignment horizontal="right" vertical="bottom"/>
    </xf>
    <xf borderId="0" fillId="16" fontId="2" numFmtId="0" xfId="0" applyAlignment="1" applyFill="1" applyFont="1">
      <alignment vertical="bottom"/>
    </xf>
    <xf borderId="5" fillId="2" fontId="2" numFmtId="0" xfId="0" applyAlignment="1" applyBorder="1" applyFont="1">
      <alignment vertical="bottom"/>
    </xf>
    <xf borderId="2" fillId="17" fontId="2" numFmtId="0" xfId="0" applyAlignment="1" applyBorder="1" applyFill="1" applyFont="1">
      <alignment vertical="bottom"/>
    </xf>
    <xf borderId="4" fillId="17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18" fontId="1" numFmtId="0" xfId="0" applyAlignment="1" applyBorder="1" applyFill="1" applyFont="1">
      <alignment readingOrder="0"/>
    </xf>
    <xf borderId="1" fillId="18" fontId="1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0" fillId="7" fontId="1" numFmtId="0" xfId="0" applyAlignment="1" applyFont="1">
      <alignment readingOrder="0"/>
    </xf>
    <xf borderId="0" fillId="7" fontId="1" numFmtId="0" xfId="0" applyFont="1"/>
    <xf borderId="1" fillId="9" fontId="1" numFmtId="0" xfId="0" applyAlignment="1" applyBorder="1" applyFont="1">
      <alignment readingOrder="0"/>
    </xf>
    <xf borderId="1" fillId="9" fontId="1" numFmtId="0" xfId="0" applyBorder="1" applyFont="1"/>
    <xf borderId="0" fillId="3" fontId="1" numFmtId="0" xfId="0" applyAlignment="1" applyFont="1">
      <alignment readingOrder="0"/>
    </xf>
    <xf borderId="0" fillId="3" fontId="1" numFmtId="0" xfId="0" applyFont="1"/>
    <xf borderId="1" fillId="4" fontId="1" numFmtId="0" xfId="0" applyBorder="1" applyFont="1"/>
    <xf borderId="0" fillId="9" fontId="1" numFmtId="0" xfId="0" applyAlignment="1" applyFont="1">
      <alignment readingOrder="0"/>
    </xf>
    <xf borderId="0" fillId="9" fontId="1" numFmtId="0" xfId="0" applyFont="1"/>
    <xf borderId="5" fillId="2" fontId="1" numFmtId="0" xfId="0" applyAlignment="1" applyBorder="1" applyFont="1">
      <alignment readingOrder="0"/>
    </xf>
    <xf borderId="7" fillId="2" fontId="1" numFmtId="0" xfId="0" applyBorder="1" applyFont="1"/>
    <xf borderId="1" fillId="2" fontId="1" numFmtId="0" xfId="0" applyBorder="1" applyFont="1"/>
    <xf borderId="0" fillId="17" fontId="1" numFmtId="0" xfId="0" applyAlignment="1" applyFont="1">
      <alignment readingOrder="0"/>
    </xf>
    <xf borderId="0" fillId="17" fontId="1" numFmtId="0" xfId="0" applyFont="1"/>
    <xf borderId="0" fillId="5" fontId="1" numFmtId="0" xfId="0" applyAlignment="1" applyFont="1">
      <alignment readingOrder="0"/>
    </xf>
    <xf borderId="0" fillId="5" fontId="1" numFmtId="0" xfId="0" applyFont="1"/>
    <xf borderId="0" fillId="10" fontId="1" numFmtId="0" xfId="0" applyAlignment="1" applyFont="1">
      <alignment readingOrder="0"/>
    </xf>
    <xf borderId="0" fillId="10" fontId="1" numFmtId="0" xfId="0" applyFont="1"/>
    <xf borderId="0" fillId="19" fontId="1" numFmtId="0" xfId="0" applyAlignment="1" applyFill="1" applyFont="1">
      <alignment readingOrder="0"/>
    </xf>
    <xf borderId="0" fillId="19" fontId="1" numFmtId="0" xfId="0" applyFont="1"/>
    <xf borderId="1" fillId="20" fontId="1" numFmtId="0" xfId="0" applyAlignment="1" applyBorder="1" applyFill="1" applyFont="1">
      <alignment readingOrder="0"/>
    </xf>
    <xf borderId="1" fillId="20" fontId="1" numFmtId="0" xfId="0" applyBorder="1" applyFont="1"/>
    <xf borderId="0" fillId="13" fontId="1" numFmtId="0" xfId="0" applyAlignment="1" applyFont="1">
      <alignment readingOrder="0"/>
    </xf>
    <xf borderId="0" fillId="1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2" t="s">
        <v>2</v>
      </c>
      <c r="E2" s="2" t="s">
        <v>3</v>
      </c>
      <c r="F2" s="3" t="s">
        <v>4</v>
      </c>
    </row>
    <row r="3">
      <c r="B3" s="1" t="s">
        <v>5</v>
      </c>
      <c r="C3" s="1">
        <v>5.0</v>
      </c>
      <c r="D3" s="2">
        <v>4.0</v>
      </c>
      <c r="E3" s="4">
        <f t="shared" ref="E3:E12" si="1">C3*D3</f>
        <v>20</v>
      </c>
      <c r="F3" s="3">
        <v>5.0</v>
      </c>
    </row>
    <row r="4">
      <c r="B4" s="1" t="s">
        <v>6</v>
      </c>
      <c r="C4" s="1">
        <v>9.0</v>
      </c>
      <c r="D4" s="2">
        <v>14.0</v>
      </c>
      <c r="E4" s="4">
        <f t="shared" si="1"/>
        <v>126</v>
      </c>
      <c r="F4" s="3">
        <v>14.0</v>
      </c>
    </row>
    <row r="5">
      <c r="B5" s="1" t="s">
        <v>7</v>
      </c>
      <c r="C5" s="1">
        <v>17.0</v>
      </c>
      <c r="D5" s="2">
        <v>24.0</v>
      </c>
      <c r="E5" s="4">
        <f t="shared" si="1"/>
        <v>408</v>
      </c>
      <c r="F5" s="3">
        <v>31.0</v>
      </c>
    </row>
    <row r="6">
      <c r="B6" s="1" t="s">
        <v>8</v>
      </c>
      <c r="C6" s="1">
        <v>29.0</v>
      </c>
      <c r="D6" s="2">
        <v>34.0</v>
      </c>
      <c r="E6" s="4">
        <f t="shared" si="1"/>
        <v>986</v>
      </c>
      <c r="F6" s="3">
        <v>60.0</v>
      </c>
    </row>
    <row r="7">
      <c r="B7" s="1" t="s">
        <v>9</v>
      </c>
      <c r="C7" s="1">
        <v>45.0</v>
      </c>
      <c r="D7" s="2">
        <v>44.0</v>
      </c>
      <c r="E7" s="4">
        <f t="shared" si="1"/>
        <v>1980</v>
      </c>
      <c r="F7" s="3">
        <v>105.0</v>
      </c>
    </row>
    <row r="8">
      <c r="B8" s="1" t="s">
        <v>10</v>
      </c>
      <c r="C8" s="1">
        <v>60.0</v>
      </c>
      <c r="D8" s="2">
        <v>54.0</v>
      </c>
      <c r="E8" s="4">
        <f t="shared" si="1"/>
        <v>3240</v>
      </c>
      <c r="F8" s="3">
        <v>165.0</v>
      </c>
    </row>
    <row r="9">
      <c r="B9" s="1" t="s">
        <v>11</v>
      </c>
      <c r="C9" s="1">
        <v>70.0</v>
      </c>
      <c r="D9" s="2">
        <v>64.0</v>
      </c>
      <c r="E9" s="4">
        <f t="shared" si="1"/>
        <v>4480</v>
      </c>
      <c r="F9" s="3">
        <v>235.0</v>
      </c>
    </row>
    <row r="10">
      <c r="B10" s="1" t="s">
        <v>12</v>
      </c>
      <c r="C10" s="1">
        <v>78.0</v>
      </c>
      <c r="D10" s="2">
        <v>74.0</v>
      </c>
      <c r="E10" s="4">
        <f t="shared" si="1"/>
        <v>5772</v>
      </c>
      <c r="F10" s="3">
        <v>313.0</v>
      </c>
    </row>
    <row r="11">
      <c r="B11" s="1" t="s">
        <v>13</v>
      </c>
      <c r="C11" s="1">
        <v>83.0</v>
      </c>
      <c r="D11" s="2">
        <v>84.0</v>
      </c>
      <c r="E11" s="4">
        <f t="shared" si="1"/>
        <v>6972</v>
      </c>
      <c r="F11" s="3">
        <v>396.0</v>
      </c>
    </row>
    <row r="12">
      <c r="B12" s="1" t="s">
        <v>14</v>
      </c>
      <c r="C12" s="1">
        <v>85.0</v>
      </c>
      <c r="D12" s="2">
        <v>94.0</v>
      </c>
      <c r="E12" s="4">
        <f t="shared" si="1"/>
        <v>7990</v>
      </c>
      <c r="F12" s="3">
        <v>481.0</v>
      </c>
    </row>
    <row r="13">
      <c r="B13" s="2" t="s">
        <v>15</v>
      </c>
      <c r="C13" s="4">
        <f>SUM(C3:C12)</f>
        <v>481</v>
      </c>
      <c r="D13" s="2" t="s">
        <v>16</v>
      </c>
      <c r="E13" s="4">
        <f>SUM(E3:E12)</f>
        <v>31974</v>
      </c>
    </row>
    <row r="15">
      <c r="B15" s="3" t="s">
        <v>17</v>
      </c>
      <c r="C15" s="5">
        <f>E13/C13</f>
        <v>66.47401247</v>
      </c>
    </row>
    <row r="18">
      <c r="A18" s="6" t="s">
        <v>18</v>
      </c>
      <c r="B18" s="6" t="s">
        <v>0</v>
      </c>
      <c r="C18" s="6" t="s">
        <v>19</v>
      </c>
      <c r="E18" s="3" t="s">
        <v>2</v>
      </c>
      <c r="F18" s="3" t="s">
        <v>3</v>
      </c>
    </row>
    <row r="19">
      <c r="A19" s="7"/>
      <c r="B19" s="6" t="s">
        <v>20</v>
      </c>
      <c r="C19" s="6">
        <v>20.0</v>
      </c>
      <c r="E19" s="3">
        <v>5.0</v>
      </c>
      <c r="F19" s="5">
        <f t="shared" ref="F19:F23" si="2">E19*C19</f>
        <v>100</v>
      </c>
    </row>
    <row r="20">
      <c r="A20" s="7"/>
      <c r="B20" s="6" t="s">
        <v>21</v>
      </c>
      <c r="C20" s="6">
        <v>24.0</v>
      </c>
      <c r="E20" s="3">
        <v>15.0</v>
      </c>
      <c r="F20" s="5">
        <f t="shared" si="2"/>
        <v>360</v>
      </c>
    </row>
    <row r="21">
      <c r="A21" s="7"/>
      <c r="B21" s="6" t="s">
        <v>22</v>
      </c>
      <c r="C21" s="6">
        <v>40.0</v>
      </c>
      <c r="E21" s="3">
        <v>25.0</v>
      </c>
      <c r="F21" s="5">
        <f t="shared" si="2"/>
        <v>1000</v>
      </c>
    </row>
    <row r="22">
      <c r="A22" s="7"/>
      <c r="B22" s="6" t="s">
        <v>23</v>
      </c>
      <c r="C22" s="6">
        <v>36.0</v>
      </c>
      <c r="E22" s="3">
        <v>35.0</v>
      </c>
      <c r="F22" s="5">
        <f t="shared" si="2"/>
        <v>1260</v>
      </c>
    </row>
    <row r="23">
      <c r="A23" s="7"/>
      <c r="B23" s="6" t="s">
        <v>24</v>
      </c>
      <c r="C23" s="6">
        <v>20.0</v>
      </c>
      <c r="E23" s="3">
        <v>45.0</v>
      </c>
      <c r="F23" s="5">
        <f t="shared" si="2"/>
        <v>900</v>
      </c>
    </row>
    <row r="24">
      <c r="C24" s="5">
        <f>SUM(C19:C23)</f>
        <v>140</v>
      </c>
      <c r="F24" s="5">
        <f>SUM(F19:F23)</f>
        <v>3620</v>
      </c>
    </row>
    <row r="26">
      <c r="B26" s="3" t="s">
        <v>25</v>
      </c>
      <c r="C26" s="5">
        <f>F24/C24</f>
        <v>25.85714286</v>
      </c>
    </row>
    <row r="28">
      <c r="A28" s="3" t="s">
        <v>26</v>
      </c>
    </row>
    <row r="29">
      <c r="B29" s="8" t="s">
        <v>27</v>
      </c>
      <c r="C29" s="8" t="s">
        <v>28</v>
      </c>
      <c r="E29" s="3" t="s">
        <v>2</v>
      </c>
      <c r="F29" s="3" t="s">
        <v>3</v>
      </c>
    </row>
    <row r="30">
      <c r="B30" s="8" t="s">
        <v>29</v>
      </c>
      <c r="C30" s="8">
        <v>8.0</v>
      </c>
      <c r="E30" s="3">
        <v>87.0</v>
      </c>
      <c r="F30" s="5">
        <f t="shared" ref="F30:F35" si="3">E30*C30</f>
        <v>696</v>
      </c>
    </row>
    <row r="31">
      <c r="B31" s="8" t="s">
        <v>30</v>
      </c>
      <c r="C31" s="8">
        <v>10.0</v>
      </c>
      <c r="E31" s="3">
        <v>92.0</v>
      </c>
      <c r="F31" s="5">
        <f t="shared" si="3"/>
        <v>920</v>
      </c>
    </row>
    <row r="32">
      <c r="B32" s="8" t="s">
        <v>31</v>
      </c>
      <c r="C32" s="8">
        <v>16.0</v>
      </c>
      <c r="E32" s="3">
        <v>98.0</v>
      </c>
      <c r="F32" s="5">
        <f t="shared" si="3"/>
        <v>1568</v>
      </c>
    </row>
    <row r="33">
      <c r="B33" s="8" t="s">
        <v>32</v>
      </c>
      <c r="C33" s="8">
        <v>23.0</v>
      </c>
      <c r="E33" s="3">
        <v>104.0</v>
      </c>
      <c r="F33" s="5">
        <f t="shared" si="3"/>
        <v>2392</v>
      </c>
    </row>
    <row r="34">
      <c r="B34" s="8" t="s">
        <v>33</v>
      </c>
      <c r="C34" s="8">
        <v>12.0</v>
      </c>
      <c r="E34" s="3">
        <v>110.0</v>
      </c>
      <c r="F34" s="5">
        <f t="shared" si="3"/>
        <v>1320</v>
      </c>
    </row>
    <row r="35">
      <c r="B35" s="8" t="s">
        <v>34</v>
      </c>
      <c r="C35" s="8">
        <v>11.0</v>
      </c>
      <c r="E35" s="3">
        <v>116.0</v>
      </c>
      <c r="F35" s="5">
        <f t="shared" si="3"/>
        <v>1276</v>
      </c>
    </row>
    <row r="36">
      <c r="C36" s="5">
        <f>SUM(C30:C35)</f>
        <v>80</v>
      </c>
      <c r="F36" s="5">
        <f>SUM(F30:F35)</f>
        <v>8172</v>
      </c>
    </row>
    <row r="38">
      <c r="B38" s="3" t="s">
        <v>17</v>
      </c>
      <c r="C38" s="5">
        <f>F36/C36</f>
        <v>102.15</v>
      </c>
    </row>
    <row r="42">
      <c r="A42" s="9" t="s">
        <v>35</v>
      </c>
      <c r="B42" s="10"/>
      <c r="C42" s="10"/>
      <c r="E42" s="3" t="s">
        <v>2</v>
      </c>
      <c r="F42" s="3" t="s">
        <v>3</v>
      </c>
    </row>
    <row r="43">
      <c r="A43" s="10"/>
      <c r="B43" s="9" t="s">
        <v>27</v>
      </c>
      <c r="C43" s="9" t="s">
        <v>36</v>
      </c>
      <c r="E43" s="3">
        <v>49.0</v>
      </c>
      <c r="F43" s="5">
        <f t="shared" ref="F43:F47" si="4">E43*C44</f>
        <v>294</v>
      </c>
    </row>
    <row r="44">
      <c r="A44" s="10"/>
      <c r="B44" s="9" t="s">
        <v>37</v>
      </c>
      <c r="C44" s="9">
        <v>6.0</v>
      </c>
      <c r="E44" s="3">
        <v>149.0</v>
      </c>
      <c r="F44" s="5">
        <f t="shared" si="4"/>
        <v>1341</v>
      </c>
    </row>
    <row r="45">
      <c r="A45" s="10"/>
      <c r="B45" s="9" t="s">
        <v>38</v>
      </c>
      <c r="C45" s="9">
        <v>9.0</v>
      </c>
      <c r="E45" s="3">
        <v>249.0</v>
      </c>
      <c r="F45" s="5">
        <f t="shared" si="4"/>
        <v>3735</v>
      </c>
    </row>
    <row r="46">
      <c r="A46" s="10"/>
      <c r="B46" s="9" t="s">
        <v>39</v>
      </c>
      <c r="C46" s="9">
        <v>15.0</v>
      </c>
      <c r="E46" s="3">
        <v>349.0</v>
      </c>
      <c r="F46" s="5">
        <f t="shared" si="4"/>
        <v>4188</v>
      </c>
    </row>
    <row r="47">
      <c r="A47" s="10"/>
      <c r="B47" s="9" t="s">
        <v>40</v>
      </c>
      <c r="C47" s="9">
        <v>12.0</v>
      </c>
      <c r="E47" s="3">
        <v>449.0</v>
      </c>
      <c r="F47" s="5">
        <f t="shared" si="4"/>
        <v>3592</v>
      </c>
    </row>
    <row r="48">
      <c r="A48" s="10"/>
      <c r="B48" s="9" t="s">
        <v>41</v>
      </c>
      <c r="C48" s="9">
        <v>8.0</v>
      </c>
      <c r="F48" s="5">
        <f>SUM(F43:F47)</f>
        <v>13150</v>
      </c>
    </row>
    <row r="49">
      <c r="C49" s="5">
        <f>SUM(C44:C48)</f>
        <v>50</v>
      </c>
    </row>
    <row r="50">
      <c r="B50" s="3" t="s">
        <v>17</v>
      </c>
      <c r="C50" s="5">
        <f>F48/C49</f>
        <v>263</v>
      </c>
    </row>
    <row r="53">
      <c r="A53" s="11" t="s">
        <v>42</v>
      </c>
      <c r="B53" s="12"/>
      <c r="C53" s="12"/>
    </row>
    <row r="54">
      <c r="A54" s="12"/>
      <c r="B54" s="11" t="s">
        <v>27</v>
      </c>
      <c r="C54" s="11" t="s">
        <v>28</v>
      </c>
      <c r="E54" s="3" t="s">
        <v>2</v>
      </c>
      <c r="F54" s="3" t="s">
        <v>3</v>
      </c>
    </row>
    <row r="55">
      <c r="A55" s="12"/>
      <c r="B55" s="11" t="s">
        <v>43</v>
      </c>
      <c r="C55" s="11">
        <v>6.0</v>
      </c>
      <c r="E55" s="3">
        <v>29.0</v>
      </c>
      <c r="F55" s="5">
        <f t="shared" ref="F55:F59" si="5">E55*C55</f>
        <v>174</v>
      </c>
    </row>
    <row r="56">
      <c r="A56" s="12"/>
      <c r="B56" s="11" t="s">
        <v>44</v>
      </c>
      <c r="C56" s="11">
        <v>10.0</v>
      </c>
      <c r="E56" s="3">
        <v>39.0</v>
      </c>
      <c r="F56" s="5">
        <f t="shared" si="5"/>
        <v>390</v>
      </c>
    </row>
    <row r="57">
      <c r="A57" s="12"/>
      <c r="B57" s="11" t="s">
        <v>45</v>
      </c>
      <c r="C57" s="11">
        <v>8.0</v>
      </c>
      <c r="E57" s="3">
        <v>49.0</v>
      </c>
      <c r="F57" s="5">
        <f t="shared" si="5"/>
        <v>392</v>
      </c>
    </row>
    <row r="58">
      <c r="A58" s="12"/>
      <c r="B58" s="11" t="s">
        <v>46</v>
      </c>
      <c r="C58" s="11">
        <v>12.0</v>
      </c>
      <c r="E58" s="3">
        <v>59.0</v>
      </c>
      <c r="F58" s="5">
        <f t="shared" si="5"/>
        <v>708</v>
      </c>
    </row>
    <row r="59">
      <c r="A59" s="12"/>
      <c r="B59" s="11" t="s">
        <v>47</v>
      </c>
      <c r="C59" s="11">
        <v>4.0</v>
      </c>
      <c r="E59" s="3">
        <v>69.0</v>
      </c>
      <c r="F59" s="5">
        <f t="shared" si="5"/>
        <v>276</v>
      </c>
    </row>
    <row r="60">
      <c r="C60" s="5">
        <f>SUM(C55:C59)</f>
        <v>40</v>
      </c>
      <c r="F60" s="5">
        <f>SUM(F55:F59)</f>
        <v>1940</v>
      </c>
    </row>
    <row r="61">
      <c r="B61" s="3" t="s">
        <v>17</v>
      </c>
      <c r="C61" s="5">
        <f>F60/C60</f>
        <v>48.5</v>
      </c>
    </row>
    <row r="64">
      <c r="A64" s="13" t="s">
        <v>48</v>
      </c>
      <c r="B64" s="14"/>
      <c r="C64" s="14"/>
    </row>
    <row r="65">
      <c r="A65" s="14"/>
      <c r="B65" s="13" t="s">
        <v>27</v>
      </c>
      <c r="C65" s="13" t="s">
        <v>28</v>
      </c>
      <c r="E65" s="3" t="s">
        <v>2</v>
      </c>
      <c r="F65" s="3" t="s">
        <v>3</v>
      </c>
    </row>
    <row r="66">
      <c r="A66" s="14"/>
      <c r="B66" s="13" t="s">
        <v>20</v>
      </c>
      <c r="C66" s="13">
        <v>7.0</v>
      </c>
      <c r="E66" s="3">
        <v>4.0</v>
      </c>
      <c r="F66" s="5">
        <f t="shared" ref="F66:F71" si="6">E66*C66</f>
        <v>28</v>
      </c>
    </row>
    <row r="67">
      <c r="A67" s="14"/>
      <c r="B67" s="13" t="s">
        <v>21</v>
      </c>
      <c r="C67" s="13">
        <v>5.0</v>
      </c>
      <c r="E67" s="3">
        <v>14.0</v>
      </c>
      <c r="F67" s="5">
        <f t="shared" si="6"/>
        <v>70</v>
      </c>
    </row>
    <row r="68">
      <c r="A68" s="14"/>
      <c r="B68" s="13" t="s">
        <v>22</v>
      </c>
      <c r="C68" s="13">
        <v>6.0</v>
      </c>
      <c r="E68" s="3">
        <v>24.0</v>
      </c>
      <c r="F68" s="5">
        <f t="shared" si="6"/>
        <v>144</v>
      </c>
    </row>
    <row r="69">
      <c r="A69" s="14"/>
      <c r="B69" s="13" t="s">
        <v>23</v>
      </c>
      <c r="C69" s="13">
        <v>12.0</v>
      </c>
      <c r="E69" s="3">
        <v>34.0</v>
      </c>
      <c r="F69" s="5">
        <f t="shared" si="6"/>
        <v>408</v>
      </c>
    </row>
    <row r="70">
      <c r="A70" s="14"/>
      <c r="B70" s="13" t="s">
        <v>24</v>
      </c>
      <c r="C70" s="13">
        <v>8.0</v>
      </c>
      <c r="E70" s="3">
        <v>44.0</v>
      </c>
      <c r="F70" s="5">
        <f t="shared" si="6"/>
        <v>352</v>
      </c>
    </row>
    <row r="71">
      <c r="A71" s="14"/>
      <c r="B71" s="13" t="s">
        <v>49</v>
      </c>
      <c r="C71" s="13">
        <v>2.0</v>
      </c>
      <c r="E71" s="3">
        <v>54.0</v>
      </c>
      <c r="F71" s="5">
        <f t="shared" si="6"/>
        <v>108</v>
      </c>
    </row>
    <row r="72">
      <c r="C72" s="5">
        <f>SUM(C66:C71)</f>
        <v>40</v>
      </c>
      <c r="F72" s="5">
        <f>SUM(F66:F71)</f>
        <v>1110</v>
      </c>
    </row>
    <row r="73">
      <c r="B73" s="3" t="s">
        <v>17</v>
      </c>
      <c r="C73" s="5">
        <f>F72/C72</f>
        <v>27.75</v>
      </c>
    </row>
    <row r="77">
      <c r="A77" s="15" t="s">
        <v>50</v>
      </c>
      <c r="B77" s="16"/>
      <c r="C77" s="16"/>
    </row>
    <row r="78">
      <c r="A78" s="16"/>
      <c r="B78" s="15" t="s">
        <v>27</v>
      </c>
      <c r="C78" s="15" t="s">
        <v>51</v>
      </c>
      <c r="E78" s="3" t="s">
        <v>2</v>
      </c>
      <c r="F78" s="3" t="s">
        <v>3</v>
      </c>
    </row>
    <row r="79">
      <c r="A79" s="16"/>
      <c r="B79" s="17">
        <v>44621.0</v>
      </c>
      <c r="C79" s="15">
        <v>12.0</v>
      </c>
      <c r="E79" s="3">
        <v>2.0</v>
      </c>
      <c r="F79" s="5">
        <f t="shared" ref="F79:F82" si="7">E79*C79</f>
        <v>24</v>
      </c>
    </row>
    <row r="80">
      <c r="A80" s="16"/>
      <c r="B80" s="17">
        <v>44684.0</v>
      </c>
      <c r="C80" s="15">
        <v>22.0</v>
      </c>
      <c r="E80" s="3">
        <v>4.0</v>
      </c>
      <c r="F80" s="5">
        <f t="shared" si="7"/>
        <v>88</v>
      </c>
    </row>
    <row r="81">
      <c r="A81" s="16"/>
      <c r="B81" s="17">
        <v>44747.0</v>
      </c>
      <c r="C81" s="15">
        <v>27.0</v>
      </c>
      <c r="E81" s="3">
        <v>6.0</v>
      </c>
      <c r="F81" s="5">
        <f t="shared" si="7"/>
        <v>162</v>
      </c>
    </row>
    <row r="82">
      <c r="A82" s="16"/>
      <c r="B82" s="17">
        <v>44811.0</v>
      </c>
      <c r="C82" s="15">
        <v>19.0</v>
      </c>
      <c r="E82" s="3">
        <v>8.0</v>
      </c>
      <c r="F82" s="5">
        <f t="shared" si="7"/>
        <v>152</v>
      </c>
    </row>
    <row r="83">
      <c r="A83" s="16"/>
      <c r="B83" s="15" t="s">
        <v>52</v>
      </c>
      <c r="C83" s="16">
        <f>SUM(C79:C82)</f>
        <v>80</v>
      </c>
      <c r="F83" s="5">
        <f>SUM(F79:F82)</f>
        <v>426</v>
      </c>
    </row>
    <row r="84">
      <c r="A84" s="16"/>
      <c r="B84" s="15" t="s">
        <v>17</v>
      </c>
      <c r="C84" s="16">
        <f>F83/C83</f>
        <v>5.325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>
      <c r="A2" s="18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>
      <c r="A3" s="18"/>
      <c r="B3" s="18"/>
      <c r="C3" s="19" t="s">
        <v>0</v>
      </c>
      <c r="D3" s="19" t="s">
        <v>1</v>
      </c>
      <c r="E3" s="18" t="s">
        <v>4</v>
      </c>
      <c r="F3" s="18" t="s">
        <v>54</v>
      </c>
      <c r="G3" s="18"/>
      <c r="H3" s="18"/>
      <c r="I3" s="20">
        <f>(F4-G6)/G7</f>
        <v>0.07051282051</v>
      </c>
      <c r="J3" s="18"/>
      <c r="K3" s="18"/>
      <c r="L3" s="18"/>
      <c r="M3" s="18"/>
    </row>
    <row r="4">
      <c r="A4" s="18"/>
      <c r="B4" s="18"/>
      <c r="C4" s="19" t="s">
        <v>5</v>
      </c>
      <c r="D4" s="21">
        <v>5.0</v>
      </c>
      <c r="E4" s="20">
        <v>5.0</v>
      </c>
      <c r="F4" s="20">
        <f>D14/2</f>
        <v>240.5</v>
      </c>
      <c r="G4" s="18"/>
      <c r="H4" s="18" t="s">
        <v>55</v>
      </c>
      <c r="I4" s="20">
        <f>G5+(I3+G8)</f>
        <v>80.07051282</v>
      </c>
      <c r="J4" s="18"/>
      <c r="K4" s="18"/>
      <c r="L4" s="18"/>
      <c r="M4" s="18"/>
    </row>
    <row r="5">
      <c r="A5" s="18"/>
      <c r="B5" s="18"/>
      <c r="C5" s="19" t="s">
        <v>6</v>
      </c>
      <c r="D5" s="21">
        <v>9.0</v>
      </c>
      <c r="E5" s="20">
        <v>14.0</v>
      </c>
      <c r="F5" s="18" t="s">
        <v>56</v>
      </c>
      <c r="G5" s="20">
        <v>70.0</v>
      </c>
      <c r="H5" s="18"/>
      <c r="I5" s="18"/>
      <c r="J5" s="18"/>
      <c r="K5" s="18"/>
      <c r="L5" s="18"/>
      <c r="M5" s="18"/>
    </row>
    <row r="6">
      <c r="A6" s="18"/>
      <c r="B6" s="18"/>
      <c r="C6" s="19" t="s">
        <v>7</v>
      </c>
      <c r="D6" s="21">
        <v>17.0</v>
      </c>
      <c r="E6" s="20">
        <v>31.0</v>
      </c>
      <c r="F6" s="18" t="s">
        <v>4</v>
      </c>
      <c r="G6" s="20">
        <f>E10</f>
        <v>235</v>
      </c>
      <c r="H6" s="18"/>
      <c r="I6" s="18"/>
      <c r="J6" s="18"/>
      <c r="K6" s="18"/>
      <c r="L6" s="18"/>
      <c r="M6" s="18"/>
    </row>
    <row r="7">
      <c r="A7" s="18"/>
      <c r="B7" s="18"/>
      <c r="C7" s="19" t="s">
        <v>8</v>
      </c>
      <c r="D7" s="21">
        <v>29.0</v>
      </c>
      <c r="E7" s="20">
        <v>60.0</v>
      </c>
      <c r="F7" s="18" t="s">
        <v>57</v>
      </c>
      <c r="G7" s="20">
        <f>D11</f>
        <v>78</v>
      </c>
      <c r="H7" s="18"/>
      <c r="I7" s="18"/>
      <c r="J7" s="18"/>
      <c r="K7" s="18"/>
      <c r="L7" s="18"/>
      <c r="M7" s="18"/>
    </row>
    <row r="8">
      <c r="A8" s="18"/>
      <c r="B8" s="18"/>
      <c r="C8" s="19" t="s">
        <v>9</v>
      </c>
      <c r="D8" s="21">
        <v>45.0</v>
      </c>
      <c r="E8" s="20">
        <v>105.0</v>
      </c>
      <c r="F8" s="18" t="s">
        <v>58</v>
      </c>
      <c r="G8" s="20">
        <f>10</f>
        <v>10</v>
      </c>
      <c r="H8" s="18"/>
      <c r="I8" s="18"/>
      <c r="J8" s="18"/>
      <c r="K8" s="18"/>
      <c r="L8" s="18"/>
      <c r="M8" s="18"/>
    </row>
    <row r="9">
      <c r="A9" s="18"/>
      <c r="B9" s="18"/>
      <c r="C9" s="19" t="s">
        <v>10</v>
      </c>
      <c r="D9" s="21">
        <v>60.0</v>
      </c>
      <c r="E9" s="20">
        <v>165.0</v>
      </c>
      <c r="F9" s="18"/>
      <c r="G9" s="18"/>
      <c r="H9" s="18"/>
      <c r="I9" s="18"/>
      <c r="J9" s="18"/>
      <c r="K9" s="18"/>
      <c r="L9" s="18"/>
      <c r="M9" s="18"/>
    </row>
    <row r="10">
      <c r="A10" s="18"/>
      <c r="B10" s="18"/>
      <c r="C10" s="19" t="s">
        <v>11</v>
      </c>
      <c r="D10" s="21">
        <v>70.0</v>
      </c>
      <c r="E10" s="20">
        <v>235.0</v>
      </c>
      <c r="F10" s="18"/>
      <c r="G10" s="18"/>
      <c r="H10" s="18"/>
      <c r="I10" s="18"/>
      <c r="J10" s="18"/>
      <c r="K10" s="18"/>
      <c r="L10" s="18"/>
      <c r="M10" s="18"/>
    </row>
    <row r="11">
      <c r="A11" s="18"/>
      <c r="B11" s="18"/>
      <c r="C11" s="19" t="s">
        <v>12</v>
      </c>
      <c r="D11" s="21">
        <v>78.0</v>
      </c>
      <c r="E11" s="20">
        <v>313.0</v>
      </c>
      <c r="F11" s="18"/>
      <c r="G11" s="18"/>
      <c r="H11" s="18"/>
      <c r="I11" s="18"/>
      <c r="J11" s="18"/>
      <c r="K11" s="18"/>
      <c r="L11" s="18"/>
      <c r="M11" s="18"/>
    </row>
    <row r="12">
      <c r="A12" s="18"/>
      <c r="B12" s="18"/>
      <c r="C12" s="19" t="s">
        <v>13</v>
      </c>
      <c r="D12" s="21">
        <v>83.0</v>
      </c>
      <c r="E12" s="20">
        <v>396.0</v>
      </c>
      <c r="F12" s="18"/>
      <c r="G12" s="18"/>
      <c r="H12" s="18"/>
      <c r="I12" s="18"/>
      <c r="J12" s="18"/>
      <c r="K12" s="18"/>
      <c r="L12" s="18"/>
      <c r="M12" s="18"/>
    </row>
    <row r="13">
      <c r="A13" s="18"/>
      <c r="B13" s="18"/>
      <c r="C13" s="19" t="s">
        <v>14</v>
      </c>
      <c r="D13" s="21">
        <v>85.0</v>
      </c>
      <c r="E13" s="20">
        <v>481.0</v>
      </c>
      <c r="F13" s="18"/>
      <c r="G13" s="18"/>
      <c r="H13" s="18"/>
      <c r="I13" s="18"/>
      <c r="J13" s="18"/>
      <c r="K13" s="18"/>
      <c r="L13" s="18"/>
      <c r="M13" s="18"/>
    </row>
    <row r="14">
      <c r="A14" s="18"/>
      <c r="B14" s="18"/>
      <c r="C14" s="18" t="s">
        <v>15</v>
      </c>
      <c r="D14" s="20">
        <f>SUM(D4:D13)</f>
        <v>481</v>
      </c>
      <c r="E14" s="18"/>
      <c r="F14" s="18"/>
      <c r="G14" s="18"/>
      <c r="H14" s="18"/>
      <c r="I14" s="18"/>
      <c r="J14" s="18"/>
      <c r="K14" s="18"/>
      <c r="L14" s="18"/>
      <c r="M14" s="18"/>
    </row>
    <row r="15">
      <c r="A15" s="22"/>
      <c r="B15" s="22"/>
      <c r="C15" s="22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>
      <c r="A16" s="23" t="s">
        <v>18</v>
      </c>
      <c r="B16" s="24" t="s">
        <v>0</v>
      </c>
      <c r="C16" s="24" t="s">
        <v>19</v>
      </c>
      <c r="D16" s="18" t="s">
        <v>4</v>
      </c>
      <c r="E16" s="18" t="s">
        <v>54</v>
      </c>
      <c r="F16" s="18" t="s">
        <v>59</v>
      </c>
      <c r="G16" s="20">
        <v>20.0</v>
      </c>
      <c r="H16" s="18" t="s">
        <v>55</v>
      </c>
      <c r="I16" s="20">
        <f>(E17-G17)/G18</f>
        <v>0.65</v>
      </c>
      <c r="J16" s="18"/>
      <c r="K16" s="18"/>
      <c r="L16" s="18"/>
      <c r="M16" s="18"/>
    </row>
    <row r="17">
      <c r="A17" s="23"/>
      <c r="B17" s="24" t="s">
        <v>20</v>
      </c>
      <c r="C17" s="25">
        <v>20.0</v>
      </c>
      <c r="D17" s="20">
        <v>20.0</v>
      </c>
      <c r="E17" s="20">
        <f>D21/2</f>
        <v>70</v>
      </c>
      <c r="F17" s="18" t="s">
        <v>4</v>
      </c>
      <c r="G17" s="20">
        <v>44.0</v>
      </c>
      <c r="H17" s="18"/>
      <c r="I17" s="20">
        <f>G16+(I16*G19)</f>
        <v>26.5</v>
      </c>
      <c r="J17" s="18"/>
      <c r="K17" s="18"/>
      <c r="L17" s="18"/>
      <c r="M17" s="18"/>
    </row>
    <row r="18">
      <c r="A18" s="23"/>
      <c r="B18" s="24" t="s">
        <v>21</v>
      </c>
      <c r="C18" s="25">
        <v>24.0</v>
      </c>
      <c r="D18" s="20">
        <v>44.0</v>
      </c>
      <c r="E18" s="18"/>
      <c r="F18" s="18" t="s">
        <v>57</v>
      </c>
      <c r="G18" s="20">
        <v>40.0</v>
      </c>
      <c r="H18" s="18"/>
      <c r="I18" s="18"/>
      <c r="J18" s="18"/>
      <c r="K18" s="18"/>
      <c r="L18" s="18"/>
      <c r="M18" s="18"/>
    </row>
    <row r="19">
      <c r="A19" s="23"/>
      <c r="B19" s="24" t="s">
        <v>22</v>
      </c>
      <c r="C19" s="25">
        <v>40.0</v>
      </c>
      <c r="D19" s="20">
        <v>84.0</v>
      </c>
      <c r="E19" s="18"/>
      <c r="F19" s="18" t="s">
        <v>58</v>
      </c>
      <c r="G19" s="20">
        <v>10.0</v>
      </c>
      <c r="H19" s="18"/>
      <c r="I19" s="18"/>
      <c r="J19" s="18"/>
      <c r="K19" s="18"/>
      <c r="L19" s="18"/>
      <c r="M19" s="18"/>
    </row>
    <row r="20">
      <c r="A20" s="23"/>
      <c r="B20" s="24" t="s">
        <v>23</v>
      </c>
      <c r="C20" s="25">
        <v>36.0</v>
      </c>
      <c r="D20" s="20">
        <v>120.0</v>
      </c>
      <c r="E20" s="18"/>
      <c r="F20" s="18"/>
      <c r="G20" s="18"/>
      <c r="H20" s="18"/>
      <c r="I20" s="18"/>
      <c r="J20" s="18"/>
      <c r="K20" s="18"/>
      <c r="L20" s="18"/>
      <c r="M20" s="18"/>
    </row>
    <row r="21">
      <c r="A21" s="23"/>
      <c r="B21" s="24" t="s">
        <v>24</v>
      </c>
      <c r="C21" s="25">
        <v>20.0</v>
      </c>
      <c r="D21" s="20">
        <v>140.0</v>
      </c>
      <c r="E21" s="18"/>
      <c r="F21" s="18"/>
      <c r="G21" s="18"/>
      <c r="H21" s="18"/>
      <c r="I21" s="18"/>
      <c r="J21" s="18"/>
      <c r="K21" s="18"/>
      <c r="L21" s="18"/>
      <c r="M21" s="18"/>
    </row>
    <row r="22">
      <c r="A22" s="18"/>
      <c r="B22" s="18"/>
      <c r="C22" s="20">
        <f>SUM(C17:C21)</f>
        <v>140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>
      <c r="A25" s="18" t="s">
        <v>26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8"/>
    </row>
    <row r="26">
      <c r="A26" s="26"/>
      <c r="B26" s="27" t="s">
        <v>27</v>
      </c>
      <c r="C26" s="27" t="s">
        <v>28</v>
      </c>
      <c r="D26" s="28" t="s">
        <v>4</v>
      </c>
      <c r="E26" s="28" t="s">
        <v>54</v>
      </c>
      <c r="F26" s="28" t="s">
        <v>60</v>
      </c>
      <c r="G26" s="28" t="s">
        <v>61</v>
      </c>
      <c r="H26" s="28" t="s">
        <v>62</v>
      </c>
      <c r="I26" s="28" t="s">
        <v>63</v>
      </c>
      <c r="J26" s="28" t="s">
        <v>64</v>
      </c>
      <c r="K26" s="28" t="s">
        <v>65</v>
      </c>
      <c r="L26" s="29"/>
      <c r="M26" s="18"/>
    </row>
    <row r="27">
      <c r="A27" s="26"/>
      <c r="B27" s="27" t="s">
        <v>29</v>
      </c>
      <c r="C27" s="30">
        <v>8.0</v>
      </c>
      <c r="D27" s="20">
        <v>8.0</v>
      </c>
      <c r="E27" s="20">
        <f>C33/2</f>
        <v>40</v>
      </c>
      <c r="F27" s="20">
        <v>102.0</v>
      </c>
      <c r="G27" s="20">
        <v>34.0</v>
      </c>
      <c r="H27" s="20">
        <v>23.0</v>
      </c>
      <c r="I27" s="20">
        <v>6.0</v>
      </c>
      <c r="J27" s="20">
        <f>(E27-G27)/H27</f>
        <v>0.2608695652</v>
      </c>
      <c r="K27" s="20">
        <f>F27+(J27*I27)</f>
        <v>103.5652174</v>
      </c>
      <c r="L27" s="18"/>
      <c r="M27" s="18"/>
    </row>
    <row r="28">
      <c r="A28" s="26"/>
      <c r="B28" s="27" t="s">
        <v>30</v>
      </c>
      <c r="C28" s="30">
        <v>10.0</v>
      </c>
      <c r="D28" s="20">
        <v>18.0</v>
      </c>
      <c r="E28" s="18"/>
      <c r="F28" s="18"/>
      <c r="G28" s="18"/>
      <c r="H28" s="18"/>
      <c r="I28" s="18"/>
      <c r="J28" s="18"/>
      <c r="K28" s="18"/>
      <c r="L28" s="18"/>
      <c r="M28" s="18"/>
    </row>
    <row r="29">
      <c r="A29" s="26"/>
      <c r="B29" s="27" t="s">
        <v>31</v>
      </c>
      <c r="C29" s="30">
        <v>16.0</v>
      </c>
      <c r="D29" s="20">
        <v>34.0</v>
      </c>
      <c r="E29" s="18"/>
      <c r="F29" s="18"/>
      <c r="G29" s="18"/>
      <c r="H29" s="18"/>
      <c r="I29" s="18"/>
      <c r="J29" s="18"/>
      <c r="K29" s="18"/>
      <c r="L29" s="18"/>
      <c r="M29" s="18"/>
    </row>
    <row r="30">
      <c r="A30" s="26"/>
      <c r="B30" s="27" t="s">
        <v>32</v>
      </c>
      <c r="C30" s="30">
        <v>23.0</v>
      </c>
      <c r="D30" s="20">
        <v>57.0</v>
      </c>
      <c r="E30" s="18"/>
      <c r="F30" s="18"/>
      <c r="G30" s="18"/>
      <c r="H30" s="18"/>
      <c r="I30" s="18"/>
      <c r="J30" s="18"/>
      <c r="K30" s="18"/>
      <c r="L30" s="18"/>
      <c r="M30" s="18"/>
    </row>
    <row r="31">
      <c r="A31" s="26"/>
      <c r="B31" s="27" t="s">
        <v>33</v>
      </c>
      <c r="C31" s="30">
        <v>12.0</v>
      </c>
      <c r="D31" s="20">
        <v>69.0</v>
      </c>
      <c r="E31" s="18"/>
      <c r="F31" s="18"/>
      <c r="G31" s="18"/>
      <c r="H31" s="18"/>
      <c r="I31" s="18"/>
      <c r="J31" s="18"/>
      <c r="K31" s="18"/>
      <c r="L31" s="18"/>
      <c r="M31" s="18"/>
    </row>
    <row r="32">
      <c r="A32" s="26"/>
      <c r="B32" s="27" t="s">
        <v>34</v>
      </c>
      <c r="C32" s="30">
        <v>11.0</v>
      </c>
      <c r="D32" s="20">
        <v>80.0</v>
      </c>
      <c r="E32" s="18"/>
      <c r="F32" s="18"/>
      <c r="G32" s="18"/>
      <c r="H32" s="18"/>
      <c r="I32" s="18"/>
      <c r="J32" s="18"/>
      <c r="K32" s="18"/>
      <c r="L32" s="18"/>
      <c r="M32" s="18"/>
    </row>
    <row r="33">
      <c r="A33" s="18"/>
      <c r="B33" s="18"/>
      <c r="C33" s="20">
        <f>SUM(C27:C32)</f>
        <v>80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>
      <c r="A34" s="22"/>
      <c r="B34" s="22"/>
      <c r="C34" s="22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>
      <c r="A35" s="31" t="s">
        <v>35</v>
      </c>
      <c r="B35" s="29"/>
      <c r="C35" s="29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>
      <c r="A36" s="31"/>
      <c r="B36" s="29" t="s">
        <v>27</v>
      </c>
      <c r="C36" s="29" t="s">
        <v>36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>
      <c r="A37" s="31"/>
      <c r="B37" s="29" t="s">
        <v>37</v>
      </c>
      <c r="C37" s="32">
        <v>6.0</v>
      </c>
      <c r="D37" s="20">
        <v>6.0</v>
      </c>
      <c r="E37" s="20">
        <v>25.0</v>
      </c>
      <c r="F37" s="20">
        <v>200.0</v>
      </c>
      <c r="G37" s="20">
        <v>15.0</v>
      </c>
      <c r="H37" s="20">
        <v>15.0</v>
      </c>
      <c r="I37" s="20">
        <v>100.0</v>
      </c>
      <c r="J37" s="20">
        <f>(E37-G37)/H37</f>
        <v>0.6666666667</v>
      </c>
      <c r="K37" s="20">
        <f>F37+(J37*I37)</f>
        <v>266.6666667</v>
      </c>
      <c r="L37" s="18"/>
      <c r="M37" s="18"/>
    </row>
    <row r="38">
      <c r="A38" s="31"/>
      <c r="B38" s="29" t="s">
        <v>38</v>
      </c>
      <c r="C38" s="32">
        <v>9.0</v>
      </c>
      <c r="D38" s="20">
        <v>15.0</v>
      </c>
      <c r="E38" s="18"/>
      <c r="F38" s="18"/>
      <c r="G38" s="18"/>
      <c r="H38" s="18"/>
      <c r="I38" s="18"/>
      <c r="J38" s="18"/>
      <c r="K38" s="18"/>
      <c r="L38" s="18"/>
      <c r="M38" s="18"/>
    </row>
    <row r="39">
      <c r="A39" s="31"/>
      <c r="B39" s="29" t="s">
        <v>39</v>
      </c>
      <c r="C39" s="32">
        <v>15.0</v>
      </c>
      <c r="D39" s="20">
        <v>30.0</v>
      </c>
      <c r="E39" s="18"/>
      <c r="F39" s="18"/>
      <c r="G39" s="18"/>
      <c r="H39" s="18"/>
      <c r="I39" s="18"/>
      <c r="J39" s="18"/>
      <c r="K39" s="18"/>
      <c r="L39" s="18"/>
      <c r="M39" s="18"/>
    </row>
    <row r="40">
      <c r="A40" s="31"/>
      <c r="B40" s="29" t="s">
        <v>40</v>
      </c>
      <c r="C40" s="32">
        <v>12.0</v>
      </c>
      <c r="D40" s="20">
        <v>42.0</v>
      </c>
      <c r="E40" s="18"/>
      <c r="F40" s="18"/>
      <c r="G40" s="18"/>
      <c r="H40" s="18"/>
      <c r="I40" s="18"/>
      <c r="J40" s="18"/>
      <c r="K40" s="18"/>
      <c r="L40" s="18"/>
      <c r="M40" s="18"/>
    </row>
    <row r="41">
      <c r="A41" s="31"/>
      <c r="B41" s="29" t="s">
        <v>41</v>
      </c>
      <c r="C41" s="32">
        <v>8.0</v>
      </c>
      <c r="D41" s="20">
        <v>50.0</v>
      </c>
      <c r="E41" s="18"/>
      <c r="F41" s="18"/>
      <c r="G41" s="18"/>
      <c r="H41" s="18"/>
      <c r="I41" s="18"/>
      <c r="J41" s="18"/>
      <c r="K41" s="18"/>
      <c r="L41" s="18"/>
      <c r="M41" s="18"/>
    </row>
    <row r="42">
      <c r="A42" s="18"/>
      <c r="B42" s="18"/>
      <c r="C42" s="20">
        <f>SUM(C37:C41)</f>
        <v>50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>
      <c r="A43" s="22"/>
      <c r="B43" s="22"/>
      <c r="C43" s="22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>
      <c r="A44" s="33" t="s">
        <v>42</v>
      </c>
      <c r="B44" s="34"/>
      <c r="C44" s="34"/>
      <c r="D44" s="18" t="s">
        <v>4</v>
      </c>
      <c r="E44" s="18"/>
      <c r="F44" s="18"/>
      <c r="G44" s="18"/>
      <c r="H44" s="18"/>
      <c r="I44" s="18"/>
      <c r="J44" s="18"/>
      <c r="K44" s="18"/>
      <c r="L44" s="18"/>
      <c r="M44" s="18"/>
    </row>
    <row r="45">
      <c r="A45" s="33"/>
      <c r="B45" s="34" t="s">
        <v>27</v>
      </c>
      <c r="C45" s="34" t="s">
        <v>28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>
      <c r="A46" s="33"/>
      <c r="B46" s="34" t="s">
        <v>43</v>
      </c>
      <c r="C46" s="35">
        <v>6.0</v>
      </c>
      <c r="D46" s="20">
        <v>6.0</v>
      </c>
      <c r="E46" s="20">
        <v>20.0</v>
      </c>
      <c r="F46" s="20">
        <v>45.0</v>
      </c>
      <c r="G46" s="20">
        <v>16.0</v>
      </c>
      <c r="H46" s="20">
        <v>8.0</v>
      </c>
      <c r="I46" s="20">
        <v>10.0</v>
      </c>
      <c r="J46" s="20">
        <f>(E46-G46)/H46</f>
        <v>0.5</v>
      </c>
      <c r="K46" s="20">
        <f>F46+(J46*I46)</f>
        <v>50</v>
      </c>
      <c r="L46" s="18"/>
      <c r="M46" s="18"/>
    </row>
    <row r="47">
      <c r="A47" s="33"/>
      <c r="B47" s="34" t="s">
        <v>44</v>
      </c>
      <c r="C47" s="35">
        <v>10.0</v>
      </c>
      <c r="D47" s="20">
        <v>16.0</v>
      </c>
      <c r="E47" s="18"/>
      <c r="F47" s="18"/>
      <c r="G47" s="18"/>
      <c r="H47" s="18"/>
      <c r="I47" s="18"/>
      <c r="J47" s="18"/>
      <c r="K47" s="18"/>
      <c r="L47" s="18"/>
      <c r="M47" s="18"/>
    </row>
    <row r="48">
      <c r="A48" s="33"/>
      <c r="B48" s="34" t="s">
        <v>45</v>
      </c>
      <c r="C48" s="35">
        <v>8.0</v>
      </c>
      <c r="D48" s="20">
        <v>24.0</v>
      </c>
      <c r="E48" s="18"/>
      <c r="F48" s="18"/>
      <c r="G48" s="18"/>
      <c r="H48" s="18"/>
      <c r="I48" s="18"/>
      <c r="J48" s="18"/>
      <c r="K48" s="18"/>
      <c r="L48" s="18"/>
      <c r="M48" s="18"/>
    </row>
    <row r="49">
      <c r="A49" s="33"/>
      <c r="B49" s="34" t="s">
        <v>46</v>
      </c>
      <c r="C49" s="35">
        <v>12.0</v>
      </c>
      <c r="D49" s="20">
        <v>36.0</v>
      </c>
      <c r="E49" s="18"/>
      <c r="F49" s="18"/>
      <c r="G49" s="18"/>
      <c r="H49" s="18"/>
      <c r="I49" s="18"/>
      <c r="J49" s="18"/>
      <c r="K49" s="18"/>
      <c r="L49" s="18"/>
      <c r="M49" s="18"/>
    </row>
    <row r="50">
      <c r="A50" s="33"/>
      <c r="B50" s="34" t="s">
        <v>47</v>
      </c>
      <c r="C50" s="35">
        <v>4.0</v>
      </c>
      <c r="D50" s="20">
        <v>40.0</v>
      </c>
      <c r="E50" s="18"/>
      <c r="F50" s="18"/>
      <c r="G50" s="18"/>
      <c r="H50" s="18"/>
      <c r="I50" s="18"/>
      <c r="J50" s="18"/>
      <c r="K50" s="18"/>
      <c r="L50" s="18"/>
      <c r="M50" s="18"/>
    </row>
    <row r="51">
      <c r="A51" s="18"/>
      <c r="B51" s="18"/>
      <c r="C51" s="20">
        <f>SUM(C46:C50)</f>
        <v>40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>
      <c r="A55" s="22"/>
      <c r="B55" s="22"/>
      <c r="C55" s="22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>
      <c r="A56" s="36" t="s">
        <v>48</v>
      </c>
      <c r="B56" s="37"/>
      <c r="C56" s="37"/>
      <c r="D56" s="18" t="s">
        <v>4</v>
      </c>
      <c r="E56" s="18"/>
      <c r="F56" s="18"/>
      <c r="G56" s="18"/>
      <c r="H56" s="18"/>
      <c r="I56" s="18"/>
      <c r="J56" s="18"/>
      <c r="K56" s="18"/>
      <c r="L56" s="18"/>
      <c r="M56" s="18"/>
    </row>
    <row r="57">
      <c r="A57" s="36"/>
      <c r="B57" s="37" t="s">
        <v>27</v>
      </c>
      <c r="C57" s="37" t="s">
        <v>28</v>
      </c>
      <c r="D57" s="18"/>
      <c r="E57" s="18"/>
      <c r="F57" s="18" t="s">
        <v>4</v>
      </c>
      <c r="G57" s="18" t="s">
        <v>57</v>
      </c>
      <c r="H57" s="18" t="s">
        <v>58</v>
      </c>
      <c r="I57" s="18" t="s">
        <v>56</v>
      </c>
      <c r="J57" s="18"/>
      <c r="K57" s="18"/>
      <c r="L57" s="18"/>
      <c r="M57" s="18"/>
    </row>
    <row r="58">
      <c r="A58" s="36"/>
      <c r="B58" s="37" t="s">
        <v>20</v>
      </c>
      <c r="C58" s="38">
        <v>7.0</v>
      </c>
      <c r="D58" s="20">
        <v>7.0</v>
      </c>
      <c r="E58" s="20">
        <v>20.0</v>
      </c>
      <c r="F58" s="20">
        <v>18.0</v>
      </c>
      <c r="G58" s="20">
        <v>12.0</v>
      </c>
      <c r="H58" s="20">
        <v>10.0</v>
      </c>
      <c r="I58" s="20">
        <v>30.0</v>
      </c>
      <c r="J58" s="20">
        <f>(E58-F58)/G58</f>
        <v>0.1666666667</v>
      </c>
      <c r="K58" s="20">
        <f>I58+(J58*H58)</f>
        <v>31.66666667</v>
      </c>
      <c r="L58" s="18"/>
      <c r="M58" s="18"/>
    </row>
    <row r="59">
      <c r="A59" s="36"/>
      <c r="B59" s="37" t="s">
        <v>21</v>
      </c>
      <c r="C59" s="38">
        <v>5.0</v>
      </c>
      <c r="D59" s="20">
        <v>12.0</v>
      </c>
      <c r="E59" s="18"/>
      <c r="F59" s="18"/>
      <c r="G59" s="18"/>
      <c r="H59" s="18"/>
      <c r="I59" s="18"/>
      <c r="J59" s="18"/>
      <c r="K59" s="18"/>
      <c r="L59" s="18"/>
      <c r="M59" s="18"/>
    </row>
    <row r="60">
      <c r="A60" s="36"/>
      <c r="B60" s="37" t="s">
        <v>22</v>
      </c>
      <c r="C60" s="38">
        <v>6.0</v>
      </c>
      <c r="D60" s="20">
        <v>18.0</v>
      </c>
      <c r="E60" s="18"/>
      <c r="F60" s="18"/>
      <c r="G60" s="18"/>
      <c r="H60" s="18"/>
      <c r="I60" s="18"/>
      <c r="J60" s="18"/>
      <c r="K60" s="18"/>
      <c r="L60" s="18"/>
      <c r="M60" s="18"/>
    </row>
    <row r="61">
      <c r="A61" s="36"/>
      <c r="B61" s="37" t="s">
        <v>23</v>
      </c>
      <c r="C61" s="38">
        <v>12.0</v>
      </c>
      <c r="D61" s="20">
        <v>30.0</v>
      </c>
      <c r="E61" s="18"/>
      <c r="F61" s="18"/>
      <c r="G61" s="18"/>
      <c r="H61" s="18"/>
      <c r="I61" s="18"/>
      <c r="J61" s="18"/>
      <c r="K61" s="18"/>
      <c r="L61" s="18"/>
      <c r="M61" s="18"/>
    </row>
    <row r="62">
      <c r="A62" s="36"/>
      <c r="B62" s="37" t="s">
        <v>24</v>
      </c>
      <c r="C62" s="38">
        <v>8.0</v>
      </c>
      <c r="D62" s="20">
        <v>38.0</v>
      </c>
      <c r="E62" s="18"/>
      <c r="F62" s="18"/>
      <c r="G62" s="18"/>
      <c r="H62" s="18"/>
      <c r="I62" s="18"/>
      <c r="J62" s="18"/>
      <c r="K62" s="18"/>
      <c r="L62" s="18"/>
      <c r="M62" s="18"/>
    </row>
    <row r="63">
      <c r="A63" s="36"/>
      <c r="B63" s="37" t="s">
        <v>49</v>
      </c>
      <c r="C63" s="38">
        <v>2.0</v>
      </c>
      <c r="D63" s="20">
        <v>40.0</v>
      </c>
      <c r="E63" s="18"/>
      <c r="F63" s="18"/>
      <c r="G63" s="18"/>
      <c r="H63" s="18"/>
      <c r="I63" s="18"/>
      <c r="J63" s="18"/>
      <c r="K63" s="18"/>
      <c r="L63" s="18"/>
      <c r="M63" s="18"/>
    </row>
    <row r="64">
      <c r="A64" s="18"/>
      <c r="B64" s="18"/>
      <c r="C64" s="20">
        <f>SUM(C58:C63)</f>
        <v>40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>
      <c r="A69" s="22"/>
      <c r="B69" s="22"/>
      <c r="C69" s="22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>
      <c r="A70" s="39" t="s">
        <v>50</v>
      </c>
      <c r="B70" s="40"/>
      <c r="C70" s="40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>
      <c r="A71" s="39"/>
      <c r="B71" s="40" t="s">
        <v>27</v>
      </c>
      <c r="C71" s="40" t="s">
        <v>51</v>
      </c>
      <c r="D71" s="18" t="s">
        <v>4</v>
      </c>
      <c r="E71" s="18"/>
      <c r="F71" s="18"/>
      <c r="G71" s="18"/>
      <c r="H71" s="18"/>
      <c r="I71" s="18"/>
      <c r="J71" s="18"/>
      <c r="K71" s="18"/>
      <c r="L71" s="18"/>
      <c r="M71" s="18"/>
    </row>
    <row r="72">
      <c r="A72" s="39"/>
      <c r="B72" s="41">
        <v>44621.0</v>
      </c>
      <c r="C72" s="42">
        <v>12.0</v>
      </c>
      <c r="D72" s="20">
        <v>12.0</v>
      </c>
      <c r="E72" s="20">
        <v>40.0</v>
      </c>
      <c r="F72" s="20">
        <v>34.0</v>
      </c>
      <c r="G72" s="20">
        <v>27.0</v>
      </c>
      <c r="H72" s="20">
        <v>2.0</v>
      </c>
      <c r="I72" s="20">
        <v>5.0</v>
      </c>
      <c r="J72" s="20">
        <f>(E72-F72)/G72</f>
        <v>0.2222222222</v>
      </c>
      <c r="K72" s="20">
        <f>I72+(J72*H72)</f>
        <v>5.444444444</v>
      </c>
      <c r="L72" s="18"/>
      <c r="M72" s="18"/>
    </row>
    <row r="73">
      <c r="A73" s="39"/>
      <c r="B73" s="41">
        <v>44684.0</v>
      </c>
      <c r="C73" s="42">
        <v>22.0</v>
      </c>
      <c r="D73" s="20">
        <v>34.0</v>
      </c>
      <c r="E73" s="18"/>
      <c r="F73" s="18"/>
      <c r="G73" s="18"/>
      <c r="H73" s="18"/>
      <c r="I73" s="18"/>
      <c r="J73" s="18"/>
      <c r="K73" s="18"/>
      <c r="L73" s="18"/>
      <c r="M73" s="18"/>
    </row>
    <row r="74">
      <c r="A74" s="39"/>
      <c r="B74" s="41">
        <v>44747.0</v>
      </c>
      <c r="C74" s="42">
        <v>27.0</v>
      </c>
      <c r="D74" s="20">
        <v>61.0</v>
      </c>
      <c r="E74" s="18"/>
      <c r="F74" s="18"/>
      <c r="G74" s="18"/>
      <c r="H74" s="18"/>
      <c r="I74" s="18"/>
      <c r="J74" s="18"/>
      <c r="K74" s="18"/>
      <c r="L74" s="18"/>
      <c r="M74" s="18"/>
    </row>
    <row r="75">
      <c r="A75" s="39"/>
      <c r="B75" s="41">
        <v>44811.0</v>
      </c>
      <c r="C75" s="42">
        <v>19.0</v>
      </c>
      <c r="D75" s="20">
        <v>80.0</v>
      </c>
      <c r="E75" s="18"/>
      <c r="F75" s="18"/>
      <c r="G75" s="18"/>
      <c r="H75" s="18"/>
      <c r="I75" s="18"/>
      <c r="J75" s="18"/>
      <c r="K75" s="18"/>
      <c r="L75" s="18"/>
      <c r="M75" s="18"/>
    </row>
    <row r="76">
      <c r="A76" s="39"/>
      <c r="B76" s="40" t="s">
        <v>52</v>
      </c>
      <c r="C76" s="42">
        <f>SUM(C72:C75)</f>
        <v>80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>
      <c r="A77" s="39"/>
      <c r="B77" s="40" t="s">
        <v>17</v>
      </c>
      <c r="C77" s="42">
        <f>F76/C76</f>
        <v>0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>
      <c r="A2" s="18"/>
      <c r="B2" s="19" t="s">
        <v>0</v>
      </c>
      <c r="C2" s="19" t="s">
        <v>1</v>
      </c>
      <c r="D2" s="18"/>
      <c r="E2" s="18"/>
      <c r="F2" s="18"/>
      <c r="G2" s="18"/>
      <c r="H2" s="22"/>
      <c r="I2" s="22"/>
      <c r="J2" s="22"/>
      <c r="K2" s="22"/>
      <c r="L2" s="22"/>
      <c r="M2" s="22"/>
      <c r="N2" s="18"/>
    </row>
    <row r="3">
      <c r="A3" s="18"/>
      <c r="B3" s="19" t="s">
        <v>5</v>
      </c>
      <c r="C3" s="21">
        <v>5.0</v>
      </c>
      <c r="D3" s="18"/>
      <c r="E3" s="18"/>
      <c r="F3" s="18"/>
      <c r="G3" s="26"/>
      <c r="H3" s="43" t="s">
        <v>66</v>
      </c>
      <c r="I3" s="43" t="s">
        <v>67</v>
      </c>
      <c r="J3" s="43" t="s">
        <v>68</v>
      </c>
      <c r="K3" s="43" t="s">
        <v>69</v>
      </c>
      <c r="L3" s="43" t="s">
        <v>70</v>
      </c>
      <c r="M3" s="44"/>
      <c r="N3" s="18"/>
    </row>
    <row r="4">
      <c r="A4" s="18"/>
      <c r="B4" s="19" t="s">
        <v>6</v>
      </c>
      <c r="C4" s="21">
        <v>9.0</v>
      </c>
      <c r="D4" s="18"/>
      <c r="E4" s="18" t="s">
        <v>56</v>
      </c>
      <c r="F4" s="20">
        <v>90.0</v>
      </c>
      <c r="G4" s="18"/>
      <c r="H4" s="18"/>
      <c r="I4" s="20">
        <f>F6-F8</f>
        <v>2</v>
      </c>
      <c r="J4" s="20">
        <f>2*F6</f>
        <v>170</v>
      </c>
      <c r="K4" s="18"/>
      <c r="L4" s="18"/>
      <c r="M4" s="18"/>
      <c r="N4" s="18"/>
    </row>
    <row r="5">
      <c r="A5" s="18"/>
      <c r="B5" s="19" t="s">
        <v>7</v>
      </c>
      <c r="C5" s="21">
        <v>17.0</v>
      </c>
      <c r="D5" s="18"/>
      <c r="E5" s="18" t="s">
        <v>58</v>
      </c>
      <c r="F5" s="20">
        <v>10.0</v>
      </c>
      <c r="G5" s="18"/>
      <c r="H5" s="18"/>
      <c r="I5" s="18"/>
      <c r="J5" s="18"/>
      <c r="K5" s="18"/>
      <c r="L5" s="18"/>
      <c r="M5" s="18"/>
      <c r="N5" s="18"/>
    </row>
    <row r="6">
      <c r="A6" s="18"/>
      <c r="B6" s="19" t="s">
        <v>8</v>
      </c>
      <c r="C6" s="21">
        <v>29.0</v>
      </c>
      <c r="D6" s="18"/>
      <c r="E6" s="18" t="s">
        <v>71</v>
      </c>
      <c r="F6" s="20">
        <v>85.0</v>
      </c>
      <c r="G6" s="18"/>
      <c r="H6" s="18"/>
      <c r="I6" s="20">
        <f>I4/(J4-F8-F7)</f>
        <v>0.02298850575</v>
      </c>
      <c r="J6" s="18"/>
      <c r="K6" s="18"/>
      <c r="L6" s="18"/>
      <c r="M6" s="18"/>
      <c r="N6" s="18"/>
    </row>
    <row r="7">
      <c r="A7" s="18"/>
      <c r="B7" s="19" t="s">
        <v>9</v>
      </c>
      <c r="C7" s="21">
        <v>45.0</v>
      </c>
      <c r="D7" s="18"/>
      <c r="E7" s="18" t="s">
        <v>72</v>
      </c>
      <c r="F7" s="20">
        <v>0.0</v>
      </c>
      <c r="G7" s="18"/>
      <c r="H7" s="18"/>
      <c r="I7" s="18" t="s">
        <v>73</v>
      </c>
      <c r="J7" s="20">
        <f>F4+(I6*F5)</f>
        <v>90.22988506</v>
      </c>
      <c r="K7" s="18"/>
      <c r="L7" s="18"/>
      <c r="M7" s="18"/>
      <c r="N7" s="18"/>
    </row>
    <row r="8">
      <c r="A8" s="18"/>
      <c r="B8" s="19" t="s">
        <v>10</v>
      </c>
      <c r="C8" s="21">
        <v>60.0</v>
      </c>
      <c r="D8" s="18"/>
      <c r="E8" s="18" t="s">
        <v>74</v>
      </c>
      <c r="F8" s="20">
        <v>83.0</v>
      </c>
      <c r="G8" s="18"/>
      <c r="H8" s="18"/>
      <c r="I8" s="18"/>
      <c r="J8" s="18"/>
      <c r="K8" s="18"/>
      <c r="L8" s="18"/>
      <c r="M8" s="18"/>
      <c r="N8" s="18"/>
    </row>
    <row r="9">
      <c r="A9" s="18"/>
      <c r="B9" s="19" t="s">
        <v>11</v>
      </c>
      <c r="C9" s="21">
        <v>70.0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>
      <c r="A10" s="18"/>
      <c r="B10" s="19" t="s">
        <v>12</v>
      </c>
      <c r="C10" s="21">
        <v>78.0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>
      <c r="A11" s="18"/>
      <c r="B11" s="19" t="s">
        <v>13</v>
      </c>
      <c r="C11" s="21">
        <v>83.0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>
      <c r="A12" s="18"/>
      <c r="B12" s="19" t="s">
        <v>14</v>
      </c>
      <c r="C12" s="21">
        <v>85.0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>
      <c r="A13" s="18"/>
      <c r="B13" s="18" t="s">
        <v>15</v>
      </c>
      <c r="C13" s="20">
        <f>SUM(C3:C12)</f>
        <v>481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>
      <c r="A14" s="22"/>
      <c r="B14" s="22"/>
      <c r="C14" s="22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>
      <c r="A15" s="23" t="s">
        <v>18</v>
      </c>
      <c r="B15" s="24" t="s">
        <v>0</v>
      </c>
      <c r="C15" s="24" t="s">
        <v>19</v>
      </c>
      <c r="D15" s="18"/>
      <c r="E15" s="18" t="s">
        <v>56</v>
      </c>
      <c r="F15" s="20">
        <v>20.0</v>
      </c>
      <c r="G15" s="18"/>
      <c r="H15" s="18"/>
      <c r="I15" s="20">
        <f>F17-F19</f>
        <v>16</v>
      </c>
      <c r="J15" s="20">
        <f>2*F17</f>
        <v>80</v>
      </c>
      <c r="K15" s="20">
        <f>I15/(J15-F19-F18)</f>
        <v>0.8</v>
      </c>
      <c r="L15" s="20">
        <f>F15+(K15*10)</f>
        <v>28</v>
      </c>
      <c r="M15" s="18"/>
      <c r="N15" s="18"/>
    </row>
    <row r="16">
      <c r="A16" s="23"/>
      <c r="B16" s="24" t="s">
        <v>20</v>
      </c>
      <c r="C16" s="25">
        <v>20.0</v>
      </c>
      <c r="D16" s="18"/>
      <c r="E16" s="18" t="s">
        <v>58</v>
      </c>
      <c r="F16" s="20">
        <v>10.0</v>
      </c>
      <c r="G16" s="18"/>
      <c r="H16" s="18"/>
      <c r="I16" s="18"/>
      <c r="J16" s="18"/>
      <c r="K16" s="18"/>
      <c r="L16" s="18"/>
      <c r="M16" s="18"/>
      <c r="N16" s="18"/>
    </row>
    <row r="17">
      <c r="A17" s="23"/>
      <c r="B17" s="24" t="s">
        <v>21</v>
      </c>
      <c r="C17" s="25">
        <v>24.0</v>
      </c>
      <c r="D17" s="18"/>
      <c r="E17" s="18" t="s">
        <v>71</v>
      </c>
      <c r="F17" s="20">
        <v>40.0</v>
      </c>
      <c r="G17" s="18"/>
      <c r="H17" s="18"/>
      <c r="I17" s="18"/>
      <c r="J17" s="18"/>
      <c r="K17" s="18"/>
      <c r="L17" s="18"/>
      <c r="M17" s="18"/>
      <c r="N17" s="18"/>
    </row>
    <row r="18">
      <c r="A18" s="23"/>
      <c r="B18" s="24" t="s">
        <v>22</v>
      </c>
      <c r="C18" s="25">
        <v>40.0</v>
      </c>
      <c r="D18" s="18"/>
      <c r="E18" s="18" t="s">
        <v>72</v>
      </c>
      <c r="F18" s="20">
        <v>36.0</v>
      </c>
      <c r="G18" s="18"/>
      <c r="H18" s="18"/>
      <c r="I18" s="18"/>
      <c r="J18" s="18"/>
      <c r="K18" s="18"/>
      <c r="L18" s="18"/>
      <c r="M18" s="18"/>
      <c r="N18" s="18"/>
    </row>
    <row r="19">
      <c r="A19" s="23"/>
      <c r="B19" s="24" t="s">
        <v>23</v>
      </c>
      <c r="C19" s="25">
        <v>36.0</v>
      </c>
      <c r="D19" s="18"/>
      <c r="E19" s="18" t="s">
        <v>74</v>
      </c>
      <c r="F19" s="20">
        <v>24.0</v>
      </c>
      <c r="G19" s="18"/>
      <c r="H19" s="18"/>
      <c r="I19" s="18"/>
      <c r="J19" s="18"/>
      <c r="K19" s="18"/>
      <c r="L19" s="18"/>
      <c r="M19" s="18"/>
      <c r="N19" s="18"/>
    </row>
    <row r="20">
      <c r="A20" s="23"/>
      <c r="B20" s="24" t="s">
        <v>24</v>
      </c>
      <c r="C20" s="25">
        <v>20.0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18" t="s">
        <v>26</v>
      </c>
      <c r="B25" s="22"/>
      <c r="C25" s="22"/>
      <c r="D25" s="22"/>
      <c r="E25" s="22"/>
      <c r="F25" s="22"/>
      <c r="G25" s="22"/>
      <c r="H25" s="22"/>
      <c r="I25" s="22"/>
      <c r="J25" s="18"/>
      <c r="K25" s="18"/>
      <c r="L25" s="22"/>
      <c r="M25" s="22"/>
      <c r="N25" s="18"/>
    </row>
    <row r="26">
      <c r="A26" s="26"/>
      <c r="B26" s="27" t="s">
        <v>27</v>
      </c>
      <c r="C26" s="27" t="s">
        <v>28</v>
      </c>
      <c r="D26" s="45"/>
      <c r="E26" s="45" t="s">
        <v>60</v>
      </c>
      <c r="F26" s="45" t="s">
        <v>63</v>
      </c>
      <c r="G26" s="45" t="s">
        <v>75</v>
      </c>
      <c r="H26" s="45" t="s">
        <v>76</v>
      </c>
      <c r="I26" s="45" t="s">
        <v>77</v>
      </c>
      <c r="J26" s="46" t="s">
        <v>67</v>
      </c>
      <c r="K26" s="46" t="s">
        <v>69</v>
      </c>
      <c r="L26" s="45" t="s">
        <v>70</v>
      </c>
      <c r="M26" s="24"/>
      <c r="N26" s="18"/>
    </row>
    <row r="27">
      <c r="A27" s="26"/>
      <c r="B27" s="27" t="s">
        <v>29</v>
      </c>
      <c r="C27" s="30">
        <v>8.0</v>
      </c>
      <c r="D27" s="18"/>
      <c r="E27" s="20">
        <v>102.0</v>
      </c>
      <c r="F27" s="20">
        <v>6.0</v>
      </c>
      <c r="G27" s="20">
        <v>23.0</v>
      </c>
      <c r="H27" s="20">
        <v>16.0</v>
      </c>
      <c r="I27" s="20">
        <v>12.0</v>
      </c>
      <c r="J27" s="18"/>
      <c r="K27" s="20">
        <f>(2*G27)</f>
        <v>46</v>
      </c>
      <c r="L27" s="18"/>
      <c r="M27" s="18"/>
      <c r="N27" s="18"/>
    </row>
    <row r="28">
      <c r="A28" s="26"/>
      <c r="B28" s="27" t="s">
        <v>30</v>
      </c>
      <c r="C28" s="30">
        <v>10.0</v>
      </c>
      <c r="D28" s="18"/>
      <c r="E28" s="18"/>
      <c r="F28" s="18"/>
      <c r="G28" s="18"/>
      <c r="H28" s="18"/>
      <c r="I28" s="18"/>
      <c r="J28" s="20">
        <f>G27-H27</f>
        <v>7</v>
      </c>
      <c r="K28" s="20">
        <f>K27-H27-I27</f>
        <v>18</v>
      </c>
      <c r="L28" s="20">
        <f t="shared" ref="L28:L29" si="1">E27+(K29*F27)</f>
        <v>104.3333333</v>
      </c>
      <c r="M28" s="18"/>
      <c r="N28" s="18"/>
    </row>
    <row r="29">
      <c r="A29" s="26"/>
      <c r="B29" s="27" t="s">
        <v>31</v>
      </c>
      <c r="C29" s="30">
        <v>16.0</v>
      </c>
      <c r="D29" s="18"/>
      <c r="E29" s="18"/>
      <c r="F29" s="18"/>
      <c r="G29" s="18"/>
      <c r="H29" s="18"/>
      <c r="I29" s="18"/>
      <c r="J29" s="18"/>
      <c r="K29" s="20">
        <f>J28/K28</f>
        <v>0.3888888889</v>
      </c>
      <c r="L29" s="20">
        <f t="shared" si="1"/>
        <v>0</v>
      </c>
      <c r="M29" s="18"/>
      <c r="N29" s="18"/>
    </row>
    <row r="30">
      <c r="A30" s="26"/>
      <c r="B30" s="27" t="s">
        <v>32</v>
      </c>
      <c r="C30" s="30">
        <v>23.0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>
      <c r="A31" s="26"/>
      <c r="B31" s="27" t="s">
        <v>33</v>
      </c>
      <c r="C31" s="30">
        <v>12.0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>
      <c r="A32" s="26"/>
      <c r="B32" s="27" t="s">
        <v>34</v>
      </c>
      <c r="C32" s="30">
        <v>11.0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>
      <c r="A33" s="18"/>
      <c r="B33" s="18"/>
      <c r="C33" s="20">
        <f>SUM(C27:C32)</f>
        <v>80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>
      <c r="A37" s="22"/>
      <c r="B37" s="22"/>
      <c r="C37" s="2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>
      <c r="A38" s="31" t="s">
        <v>35</v>
      </c>
      <c r="B38" s="29"/>
      <c r="C38" s="2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>
      <c r="A39" s="31"/>
      <c r="B39" s="29" t="s">
        <v>27</v>
      </c>
      <c r="C39" s="29" t="s">
        <v>36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>
      <c r="A40" s="31"/>
      <c r="B40" s="29" t="s">
        <v>37</v>
      </c>
      <c r="C40" s="32">
        <v>6.0</v>
      </c>
      <c r="D40" s="18"/>
      <c r="E40" s="20">
        <v>200.0</v>
      </c>
      <c r="F40" s="20">
        <v>100.0</v>
      </c>
      <c r="G40" s="20">
        <v>15.0</v>
      </c>
      <c r="H40" s="20">
        <v>9.0</v>
      </c>
      <c r="I40" s="20">
        <v>12.0</v>
      </c>
      <c r="J40" s="20">
        <f>G40-H40</f>
        <v>6</v>
      </c>
      <c r="K40" s="20">
        <v>30.0</v>
      </c>
      <c r="L40" s="20">
        <f t="shared" ref="L40:L41" si="2">E40+(K41*F40)</f>
        <v>1100</v>
      </c>
      <c r="M40" s="18"/>
      <c r="N40" s="18"/>
    </row>
    <row r="41">
      <c r="A41" s="31"/>
      <c r="B41" s="29" t="s">
        <v>38</v>
      </c>
      <c r="C41" s="32">
        <v>9.0</v>
      </c>
      <c r="D41" s="18"/>
      <c r="E41" s="18"/>
      <c r="F41" s="18"/>
      <c r="G41" s="18"/>
      <c r="H41" s="18"/>
      <c r="I41" s="18"/>
      <c r="J41" s="18"/>
      <c r="K41" s="20">
        <f>(K40-H40-I40)</f>
        <v>9</v>
      </c>
      <c r="L41" s="20">
        <f t="shared" si="2"/>
        <v>0</v>
      </c>
      <c r="M41" s="18"/>
      <c r="N41" s="18"/>
    </row>
    <row r="42">
      <c r="A42" s="31"/>
      <c r="B42" s="29" t="s">
        <v>39</v>
      </c>
      <c r="C42" s="32">
        <v>15.0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>
      <c r="A43" s="31"/>
      <c r="B43" s="29" t="s">
        <v>40</v>
      </c>
      <c r="C43" s="32">
        <v>12.0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>
      <c r="A44" s="31"/>
      <c r="B44" s="29" t="s">
        <v>41</v>
      </c>
      <c r="C44" s="32">
        <v>8.0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18"/>
      <c r="B45" s="18"/>
      <c r="C45" s="20">
        <f>SUM(C40:C44)</f>
        <v>50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>
      <c r="A48" s="22"/>
      <c r="B48" s="22"/>
      <c r="C48" s="22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>
      <c r="A49" s="33" t="s">
        <v>42</v>
      </c>
      <c r="B49" s="34"/>
      <c r="C49" s="34"/>
      <c r="D49" s="18"/>
      <c r="E49" s="18" t="s">
        <v>56</v>
      </c>
      <c r="F49" s="18" t="s">
        <v>58</v>
      </c>
      <c r="G49" s="18" t="s">
        <v>71</v>
      </c>
      <c r="H49" s="18" t="s">
        <v>74</v>
      </c>
      <c r="I49" s="18" t="s">
        <v>72</v>
      </c>
      <c r="J49" s="18"/>
      <c r="K49" s="18"/>
      <c r="L49" s="18"/>
      <c r="M49" s="18"/>
      <c r="N49" s="18"/>
    </row>
    <row r="50">
      <c r="A50" s="33"/>
      <c r="B50" s="34" t="s">
        <v>27</v>
      </c>
      <c r="C50" s="34" t="s">
        <v>28</v>
      </c>
      <c r="D50" s="18"/>
      <c r="E50" s="20">
        <v>55.0</v>
      </c>
      <c r="F50" s="20">
        <v>10.0</v>
      </c>
      <c r="G50" s="20">
        <v>12.0</v>
      </c>
      <c r="H50" s="20">
        <v>8.0</v>
      </c>
      <c r="I50" s="20">
        <v>4.0</v>
      </c>
      <c r="J50" s="20">
        <f>G50-H50</f>
        <v>4</v>
      </c>
      <c r="K50" s="20">
        <v>24.0</v>
      </c>
      <c r="L50" s="20">
        <f t="shared" ref="L50:L51" si="3">E50+(K51*F50)</f>
        <v>175</v>
      </c>
      <c r="M50" s="18"/>
      <c r="N50" s="18"/>
    </row>
    <row r="51">
      <c r="A51" s="33"/>
      <c r="B51" s="34" t="s">
        <v>43</v>
      </c>
      <c r="C51" s="35">
        <v>6.0</v>
      </c>
      <c r="D51" s="18"/>
      <c r="E51" s="18"/>
      <c r="F51" s="18"/>
      <c r="G51" s="18"/>
      <c r="H51" s="18"/>
      <c r="I51" s="18"/>
      <c r="J51" s="18"/>
      <c r="K51" s="20">
        <f>(K50-H50-I50)</f>
        <v>12</v>
      </c>
      <c r="L51" s="20">
        <f t="shared" si="3"/>
        <v>0</v>
      </c>
      <c r="M51" s="20">
        <f>SQRT(L50)</f>
        <v>13.22875656</v>
      </c>
      <c r="N51" s="18"/>
    </row>
    <row r="52">
      <c r="A52" s="33"/>
      <c r="B52" s="34" t="s">
        <v>44</v>
      </c>
      <c r="C52" s="35">
        <v>10.0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>
      <c r="A53" s="33"/>
      <c r="B53" s="34" t="s">
        <v>45</v>
      </c>
      <c r="C53" s="35">
        <v>8.0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>
      <c r="A54" s="33"/>
      <c r="B54" s="34" t="s">
        <v>46</v>
      </c>
      <c r="C54" s="35">
        <v>12.0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>
      <c r="A55" s="33"/>
      <c r="B55" s="34" t="s">
        <v>47</v>
      </c>
      <c r="C55" s="35">
        <v>4.0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A56" s="18"/>
      <c r="B56" s="18"/>
      <c r="C56" s="20">
        <f>SUM(C51:C55)</f>
        <v>40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A58" s="22"/>
      <c r="B58" s="22"/>
      <c r="C58" s="22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>
      <c r="A59" s="36" t="s">
        <v>48</v>
      </c>
      <c r="B59" s="37"/>
      <c r="C59" s="37"/>
      <c r="D59" s="18"/>
      <c r="E59" s="18" t="s">
        <v>56</v>
      </c>
      <c r="F59" s="18" t="s">
        <v>58</v>
      </c>
      <c r="G59" s="18" t="s">
        <v>71</v>
      </c>
      <c r="H59" s="18" t="s">
        <v>74</v>
      </c>
      <c r="I59" s="18" t="s">
        <v>72</v>
      </c>
      <c r="J59" s="18"/>
      <c r="K59" s="18"/>
      <c r="L59" s="18"/>
      <c r="M59" s="18"/>
      <c r="N59" s="18"/>
    </row>
    <row r="60">
      <c r="A60" s="36"/>
      <c r="B60" s="37" t="s">
        <v>27</v>
      </c>
      <c r="C60" s="37" t="s">
        <v>28</v>
      </c>
      <c r="D60" s="18"/>
      <c r="E60" s="20">
        <v>30.0</v>
      </c>
      <c r="F60" s="20">
        <v>10.0</v>
      </c>
      <c r="G60" s="20">
        <v>12.0</v>
      </c>
      <c r="H60" s="20">
        <v>6.0</v>
      </c>
      <c r="I60" s="20">
        <v>8.0</v>
      </c>
      <c r="J60" s="20">
        <f>G60-H60</f>
        <v>6</v>
      </c>
      <c r="K60" s="20">
        <v>24.0</v>
      </c>
      <c r="L60" s="20">
        <f>E60+(K62*F60)</f>
        <v>36</v>
      </c>
      <c r="M60" s="18"/>
      <c r="N60" s="18"/>
    </row>
    <row r="61">
      <c r="A61" s="36"/>
      <c r="B61" s="37" t="s">
        <v>20</v>
      </c>
      <c r="C61" s="38">
        <v>7.0</v>
      </c>
      <c r="D61" s="18"/>
      <c r="E61" s="18"/>
      <c r="F61" s="18"/>
      <c r="G61" s="18"/>
      <c r="H61" s="18"/>
      <c r="I61" s="18"/>
      <c r="J61" s="18"/>
      <c r="K61" s="20">
        <f>(K60-H60-I60)</f>
        <v>10</v>
      </c>
      <c r="L61" s="18"/>
      <c r="M61" s="18"/>
      <c r="N61" s="18"/>
    </row>
    <row r="62">
      <c r="A62" s="36"/>
      <c r="B62" s="37" t="s">
        <v>21</v>
      </c>
      <c r="C62" s="38">
        <v>5.0</v>
      </c>
      <c r="D62" s="18"/>
      <c r="E62" s="18"/>
      <c r="F62" s="18"/>
      <c r="G62" s="18"/>
      <c r="H62" s="18"/>
      <c r="I62" s="18"/>
      <c r="J62" s="18"/>
      <c r="K62" s="20">
        <f>J60/K61</f>
        <v>0.6</v>
      </c>
      <c r="L62" s="18"/>
      <c r="M62" s="18"/>
      <c r="N62" s="18"/>
    </row>
    <row r="63">
      <c r="A63" s="36"/>
      <c r="B63" s="37" t="s">
        <v>22</v>
      </c>
      <c r="C63" s="38">
        <v>6.0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>
      <c r="A64" s="36"/>
      <c r="B64" s="37" t="s">
        <v>23</v>
      </c>
      <c r="C64" s="38">
        <v>12.0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>
      <c r="A65" s="36"/>
      <c r="B65" s="37" t="s">
        <v>24</v>
      </c>
      <c r="C65" s="38">
        <v>8.0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>
      <c r="A66" s="36"/>
      <c r="B66" s="37" t="s">
        <v>49</v>
      </c>
      <c r="C66" s="38">
        <v>2.0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>
      <c r="A67" s="18"/>
      <c r="B67" s="18"/>
      <c r="C67" s="20">
        <f>SUM(C61:C66)</f>
        <v>40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>
      <c r="A69" s="39" t="s">
        <v>50</v>
      </c>
      <c r="B69" s="40"/>
      <c r="C69" s="40"/>
      <c r="D69" s="18"/>
      <c r="E69" s="47" t="s">
        <v>56</v>
      </c>
      <c r="F69" s="47" t="s">
        <v>58</v>
      </c>
      <c r="G69" s="47" t="s">
        <v>71</v>
      </c>
      <c r="H69" s="47" t="s">
        <v>72</v>
      </c>
      <c r="I69" s="47" t="s">
        <v>74</v>
      </c>
      <c r="J69" s="18">
        <f>G70-I70</f>
        <v>5</v>
      </c>
      <c r="K69" s="18">
        <f>2*G70</f>
        <v>54</v>
      </c>
      <c r="L69" s="18"/>
      <c r="M69" s="18"/>
      <c r="N69" s="18"/>
    </row>
    <row r="70">
      <c r="A70" s="39"/>
      <c r="B70" s="40" t="s">
        <v>27</v>
      </c>
      <c r="C70" s="40" t="s">
        <v>51</v>
      </c>
      <c r="D70" s="18"/>
      <c r="E70" s="47">
        <v>5.0</v>
      </c>
      <c r="F70" s="47">
        <v>2.0</v>
      </c>
      <c r="G70" s="47">
        <v>27.0</v>
      </c>
      <c r="H70" s="47">
        <v>19.0</v>
      </c>
      <c r="I70" s="47">
        <v>22.0</v>
      </c>
      <c r="J70" s="18"/>
      <c r="K70" s="18">
        <f>K69-I70-H70</f>
        <v>13</v>
      </c>
      <c r="L70" s="18"/>
      <c r="M70" s="18"/>
      <c r="N70" s="18"/>
    </row>
    <row r="71">
      <c r="A71" s="39"/>
      <c r="B71" s="41">
        <v>44621.0</v>
      </c>
      <c r="C71" s="42">
        <v>12.0</v>
      </c>
      <c r="D71" s="18"/>
      <c r="E71" s="18"/>
      <c r="F71" s="18"/>
      <c r="G71" s="18"/>
      <c r="H71" s="18"/>
      <c r="I71" s="18"/>
      <c r="J71" s="18"/>
      <c r="K71" s="18">
        <f>J69/K70</f>
        <v>0.3846153846</v>
      </c>
      <c r="L71" s="18"/>
      <c r="M71" s="18"/>
      <c r="N71" s="18"/>
    </row>
    <row r="72">
      <c r="A72" s="39"/>
      <c r="B72" s="41">
        <v>44684.0</v>
      </c>
      <c r="C72" s="42">
        <v>22.0</v>
      </c>
      <c r="D72" s="18"/>
      <c r="E72" s="18"/>
      <c r="F72" s="18"/>
      <c r="G72" s="18"/>
      <c r="H72" s="18"/>
      <c r="I72" s="18"/>
      <c r="J72" s="47" t="s">
        <v>73</v>
      </c>
      <c r="K72" s="18">
        <f>E70+(K71)*F70</f>
        <v>5.769230769</v>
      </c>
      <c r="L72" s="18"/>
      <c r="M72" s="18"/>
      <c r="N72" s="18"/>
    </row>
    <row r="73">
      <c r="A73" s="39"/>
      <c r="B73" s="41">
        <v>44747.0</v>
      </c>
      <c r="C73" s="42">
        <v>27.0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>
      <c r="A74" s="39"/>
      <c r="B74" s="41">
        <v>44811.0</v>
      </c>
      <c r="C74" s="42">
        <v>19.0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>
      <c r="A75" s="39"/>
      <c r="B75" s="40" t="s">
        <v>52</v>
      </c>
      <c r="C75" s="42">
        <f>SUM(C71:C74)</f>
        <v>80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>
      <c r="A76" s="39"/>
      <c r="B76" s="40" t="s">
        <v>17</v>
      </c>
      <c r="C76" s="42">
        <f>F75/C75</f>
        <v>0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>
      <c r="A77" s="18"/>
      <c r="B77" s="18"/>
      <c r="C77" s="18"/>
    </row>
    <row r="78">
      <c r="A78" s="18"/>
      <c r="B78" s="18"/>
      <c r="C78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  <c r="B1" s="22" t="s">
        <v>78</v>
      </c>
      <c r="C1" s="22"/>
      <c r="D1" s="22"/>
      <c r="E1" s="22"/>
      <c r="F1" s="18"/>
      <c r="G1" s="18"/>
      <c r="H1" s="18"/>
      <c r="I1" s="18"/>
      <c r="J1" s="18"/>
      <c r="K1" s="18"/>
    </row>
    <row r="2">
      <c r="A2" s="48" t="s">
        <v>79</v>
      </c>
      <c r="B2" s="49" t="s">
        <v>62</v>
      </c>
      <c r="C2" s="49" t="s">
        <v>80</v>
      </c>
      <c r="D2" s="49" t="s">
        <v>81</v>
      </c>
      <c r="E2" s="49" t="s">
        <v>82</v>
      </c>
      <c r="F2" s="18"/>
      <c r="G2" s="18"/>
      <c r="H2" s="18"/>
      <c r="I2" s="18"/>
      <c r="J2" s="18"/>
      <c r="K2" s="18"/>
    </row>
    <row r="3">
      <c r="A3" s="50">
        <v>24.0</v>
      </c>
      <c r="B3" s="51">
        <v>14.0</v>
      </c>
      <c r="C3" s="51">
        <f t="shared" ref="C3:C7" si="1">A3*B3</f>
        <v>336</v>
      </c>
      <c r="D3" s="51">
        <f>(A3-A13)*-1</f>
        <v>36.05479452</v>
      </c>
      <c r="E3" s="51">
        <f t="shared" ref="E3:E7" si="2">B3*D3</f>
        <v>504.7671233</v>
      </c>
      <c r="F3" s="18"/>
      <c r="G3" s="18"/>
      <c r="H3" s="18"/>
      <c r="I3" s="18"/>
      <c r="J3" s="18"/>
      <c r="K3" s="18"/>
    </row>
    <row r="4">
      <c r="A4" s="50">
        <v>36.0</v>
      </c>
      <c r="B4" s="51">
        <v>28.0</v>
      </c>
      <c r="C4" s="51">
        <f t="shared" si="1"/>
        <v>1008</v>
      </c>
      <c r="D4" s="51">
        <f>(A4-A13)*-1</f>
        <v>24.05479452</v>
      </c>
      <c r="E4" s="51">
        <f t="shared" si="2"/>
        <v>673.5342466</v>
      </c>
      <c r="F4" s="18"/>
      <c r="G4" s="18"/>
      <c r="H4" s="18"/>
      <c r="I4" s="18"/>
      <c r="J4" s="18"/>
      <c r="K4" s="18"/>
    </row>
    <row r="5">
      <c r="A5" s="50">
        <v>56.0</v>
      </c>
      <c r="B5" s="51">
        <v>42.0</v>
      </c>
      <c r="C5" s="51">
        <f t="shared" si="1"/>
        <v>2352</v>
      </c>
      <c r="D5" s="51">
        <f>(A5-A13)*-1</f>
        <v>4.054794521</v>
      </c>
      <c r="E5" s="51">
        <f t="shared" si="2"/>
        <v>170.3013699</v>
      </c>
      <c r="F5" s="18"/>
      <c r="G5" s="18"/>
      <c r="H5" s="18"/>
      <c r="I5" s="18"/>
      <c r="J5" s="18"/>
      <c r="K5" s="18"/>
    </row>
    <row r="6">
      <c r="A6" s="50">
        <v>80.0</v>
      </c>
      <c r="B6" s="51">
        <v>34.0</v>
      </c>
      <c r="C6" s="51">
        <f t="shared" si="1"/>
        <v>2720</v>
      </c>
      <c r="D6" s="51">
        <f>A6-A13</f>
        <v>19.94520548</v>
      </c>
      <c r="E6" s="51">
        <f t="shared" si="2"/>
        <v>678.1369863</v>
      </c>
      <c r="F6" s="18"/>
      <c r="G6" s="18"/>
      <c r="H6" s="18"/>
      <c r="I6" s="18"/>
      <c r="J6" s="18"/>
      <c r="K6" s="18"/>
    </row>
    <row r="7">
      <c r="A7" s="50">
        <v>84.0</v>
      </c>
      <c r="B7" s="51">
        <v>28.0</v>
      </c>
      <c r="C7" s="51">
        <f t="shared" si="1"/>
        <v>2352</v>
      </c>
      <c r="D7" s="51">
        <f>A7-A13</f>
        <v>23.94520548</v>
      </c>
      <c r="E7" s="51">
        <f t="shared" si="2"/>
        <v>670.4657534</v>
      </c>
      <c r="F7" s="18"/>
      <c r="G7" s="18"/>
      <c r="H7" s="18"/>
      <c r="I7" s="18"/>
      <c r="J7" s="18"/>
      <c r="K7" s="18"/>
    </row>
    <row r="8">
      <c r="A8" s="52" t="s">
        <v>83</v>
      </c>
      <c r="B8" s="51">
        <f t="shared" ref="B8:C8" si="3">SUM(B3:B7)</f>
        <v>146</v>
      </c>
      <c r="C8" s="51">
        <f t="shared" si="3"/>
        <v>8768</v>
      </c>
      <c r="D8" s="53"/>
      <c r="E8" s="51">
        <f>SUM(E3:E7)</f>
        <v>2697.205479</v>
      </c>
      <c r="F8" s="18"/>
      <c r="G8" s="18"/>
      <c r="H8" s="18"/>
      <c r="I8" s="18"/>
      <c r="J8" s="18"/>
      <c r="K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>
      <c r="A12" s="54" t="s">
        <v>25</v>
      </c>
      <c r="B12" s="55"/>
      <c r="C12" s="18"/>
      <c r="D12" s="18"/>
      <c r="E12" s="18"/>
      <c r="F12" s="18"/>
      <c r="G12" s="18"/>
      <c r="H12" s="18"/>
      <c r="I12" s="18"/>
      <c r="J12" s="18"/>
      <c r="K12" s="18"/>
    </row>
    <row r="13">
      <c r="A13" s="56">
        <f>C8/B8</f>
        <v>60.05479452</v>
      </c>
      <c r="B13" s="55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54"/>
      <c r="B14" s="55"/>
      <c r="C14" s="18"/>
      <c r="D14" s="18"/>
      <c r="E14" s="18"/>
      <c r="F14" s="18"/>
      <c r="G14" s="18"/>
      <c r="H14" s="18"/>
      <c r="I14" s="18"/>
      <c r="J14" s="18"/>
      <c r="K14" s="18"/>
    </row>
    <row r="15">
      <c r="A15" s="57" t="s">
        <v>84</v>
      </c>
      <c r="B15" s="58">
        <f>E8/B8</f>
        <v>18.47401013</v>
      </c>
      <c r="C15" s="18"/>
      <c r="D15" s="18"/>
      <c r="E15" s="18"/>
      <c r="F15" s="18"/>
      <c r="G15" s="18"/>
      <c r="H15" s="18"/>
      <c r="I15" s="18"/>
      <c r="J15" s="18"/>
      <c r="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59" t="s">
        <v>85</v>
      </c>
      <c r="B17" s="22"/>
      <c r="C17" s="22"/>
      <c r="D17" s="18"/>
      <c r="E17" s="18"/>
      <c r="F17" s="18"/>
      <c r="G17" s="18"/>
      <c r="H17" s="18"/>
      <c r="I17" s="18"/>
      <c r="J17" s="18"/>
      <c r="K17" s="18"/>
    </row>
    <row r="18">
      <c r="A18" s="60" t="s">
        <v>79</v>
      </c>
      <c r="B18" s="61" t="s">
        <v>81</v>
      </c>
      <c r="C18" s="62" t="s">
        <v>86</v>
      </c>
      <c r="D18" s="18"/>
      <c r="E18" s="18"/>
      <c r="F18" s="18"/>
      <c r="G18" s="18"/>
      <c r="H18" s="18"/>
      <c r="I18" s="18"/>
      <c r="J18" s="18"/>
      <c r="K18" s="18"/>
    </row>
    <row r="19">
      <c r="A19" s="63">
        <v>24.0</v>
      </c>
      <c r="B19" s="25">
        <f>(A19-F19)*-1</f>
        <v>3.8</v>
      </c>
      <c r="C19" s="18"/>
      <c r="D19" s="18"/>
      <c r="E19" s="18" t="s">
        <v>17</v>
      </c>
      <c r="F19" s="20">
        <f>B51</f>
        <v>27.8</v>
      </c>
      <c r="G19" s="18"/>
      <c r="H19" s="18"/>
      <c r="I19" s="18"/>
      <c r="J19" s="18"/>
      <c r="K19" s="18"/>
    </row>
    <row r="20">
      <c r="A20" s="63">
        <v>32.0</v>
      </c>
      <c r="B20" s="25">
        <f>A20-B51</f>
        <v>4.2</v>
      </c>
      <c r="C20" s="18"/>
      <c r="D20" s="18"/>
      <c r="E20" s="18"/>
      <c r="F20" s="18"/>
      <c r="G20" s="18"/>
      <c r="H20" s="18"/>
      <c r="I20" s="18"/>
      <c r="J20" s="18"/>
      <c r="K20" s="18"/>
    </row>
    <row r="21">
      <c r="A21" s="63">
        <v>27.0</v>
      </c>
      <c r="B21" s="25">
        <f>(A21-F19)*-1</f>
        <v>0.8</v>
      </c>
      <c r="C21" s="18"/>
      <c r="D21" s="18"/>
      <c r="E21" s="18"/>
      <c r="F21" s="18"/>
      <c r="G21" s="18"/>
      <c r="H21" s="18"/>
      <c r="I21" s="18"/>
      <c r="J21" s="18"/>
      <c r="K21" s="18"/>
    </row>
    <row r="22">
      <c r="A22" s="63">
        <v>23.0</v>
      </c>
      <c r="B22" s="25">
        <f>(A22-F19)*-1</f>
        <v>4.8</v>
      </c>
      <c r="C22" s="18"/>
      <c r="D22" s="18"/>
      <c r="E22" s="18"/>
      <c r="F22" s="18"/>
      <c r="G22" s="18"/>
      <c r="H22" s="18"/>
      <c r="I22" s="18"/>
      <c r="J22" s="18"/>
      <c r="K22" s="18"/>
    </row>
    <row r="23">
      <c r="A23" s="63">
        <v>33.0</v>
      </c>
      <c r="B23" s="25">
        <f>A23-F19</f>
        <v>5.2</v>
      </c>
      <c r="C23" s="18"/>
      <c r="D23" s="18"/>
      <c r="E23" s="18"/>
      <c r="F23" s="18"/>
      <c r="G23" s="18"/>
      <c r="H23" s="18"/>
      <c r="I23" s="18"/>
      <c r="J23" s="18"/>
      <c r="K23" s="18"/>
    </row>
    <row r="24">
      <c r="A24" s="63">
        <v>33.0</v>
      </c>
      <c r="B24" s="25">
        <f>A24-F19</f>
        <v>5.2</v>
      </c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63">
        <v>29.0</v>
      </c>
      <c r="B25" s="25">
        <f>A25-F19</f>
        <v>1.2</v>
      </c>
      <c r="C25" s="18" t="s">
        <v>87</v>
      </c>
      <c r="D25" s="20">
        <f>SUM(B19:B48)</f>
        <v>106</v>
      </c>
      <c r="E25" s="18"/>
      <c r="F25" s="18"/>
      <c r="G25" s="18"/>
      <c r="H25" s="18"/>
      <c r="I25" s="18"/>
      <c r="J25" s="18"/>
      <c r="K25" s="18"/>
    </row>
    <row r="26">
      <c r="A26" s="63">
        <v>25.0</v>
      </c>
      <c r="B26" s="25">
        <f>(A26-F19)*-1</f>
        <v>2.8</v>
      </c>
      <c r="C26" s="18"/>
      <c r="D26" s="18"/>
      <c r="E26" s="18"/>
      <c r="F26" s="18"/>
      <c r="G26" s="18"/>
      <c r="H26" s="18"/>
      <c r="I26" s="18"/>
      <c r="J26" s="18"/>
      <c r="K26" s="18"/>
    </row>
    <row r="27">
      <c r="A27" s="63">
        <v>23.0</v>
      </c>
      <c r="B27" s="25">
        <f>(A27-F19)*-1</f>
        <v>4.8</v>
      </c>
      <c r="C27" s="18" t="s">
        <v>88</v>
      </c>
      <c r="D27" s="20">
        <f>D25/30</f>
        <v>3.533333333</v>
      </c>
      <c r="E27" s="18"/>
      <c r="F27" s="18"/>
      <c r="G27" s="18"/>
      <c r="H27" s="18"/>
      <c r="I27" s="18"/>
      <c r="J27" s="18"/>
      <c r="K27" s="18"/>
    </row>
    <row r="28">
      <c r="A28" s="63">
        <v>28.0</v>
      </c>
      <c r="B28" s="25">
        <f>A28-F19</f>
        <v>0.2</v>
      </c>
      <c r="C28" s="18"/>
      <c r="D28" s="18"/>
      <c r="E28" s="18"/>
      <c r="F28" s="18"/>
      <c r="G28" s="18"/>
      <c r="H28" s="18"/>
      <c r="I28" s="18"/>
      <c r="J28" s="18"/>
      <c r="K28" s="18"/>
    </row>
    <row r="29">
      <c r="A29" s="63">
        <v>21.0</v>
      </c>
      <c r="B29" s="25">
        <f>(A29-F19)*-1</f>
        <v>6.8</v>
      </c>
      <c r="C29" s="18"/>
      <c r="D29" s="18"/>
      <c r="E29" s="18"/>
      <c r="F29" s="18"/>
      <c r="G29" s="18"/>
      <c r="H29" s="18"/>
      <c r="I29" s="18"/>
      <c r="J29" s="18"/>
      <c r="K29" s="18"/>
    </row>
    <row r="30">
      <c r="A30" s="63">
        <v>26.0</v>
      </c>
      <c r="B30" s="25">
        <f>(A30-B51)*-1</f>
        <v>1.8</v>
      </c>
      <c r="C30" s="18"/>
      <c r="D30" s="18"/>
      <c r="E30" s="18"/>
      <c r="F30" s="18"/>
      <c r="G30" s="18"/>
      <c r="H30" s="18"/>
      <c r="I30" s="18"/>
      <c r="J30" s="18"/>
      <c r="K30" s="18"/>
    </row>
    <row r="31">
      <c r="A31" s="63">
        <v>31.0</v>
      </c>
      <c r="B31" s="25">
        <f>A31-B51</f>
        <v>3.2</v>
      </c>
      <c r="C31" s="18"/>
      <c r="D31" s="18"/>
      <c r="E31" s="18"/>
      <c r="F31" s="18"/>
      <c r="G31" s="18"/>
      <c r="H31" s="18"/>
      <c r="I31" s="18"/>
      <c r="J31" s="18"/>
      <c r="K31" s="18"/>
    </row>
    <row r="32">
      <c r="A32" s="63">
        <v>20.0</v>
      </c>
      <c r="B32" s="25">
        <f>(A32-B51)*-1</f>
        <v>7.8</v>
      </c>
      <c r="C32" s="18"/>
      <c r="D32" s="18"/>
      <c r="E32" s="18"/>
      <c r="F32" s="18"/>
      <c r="G32" s="18"/>
      <c r="H32" s="18"/>
      <c r="I32" s="18"/>
      <c r="J32" s="18"/>
      <c r="K32" s="18"/>
    </row>
    <row r="33">
      <c r="A33" s="63">
        <v>27.0</v>
      </c>
      <c r="B33" s="25">
        <f>(A33-B51)*-1</f>
        <v>0.8</v>
      </c>
      <c r="C33" s="18"/>
      <c r="D33" s="18"/>
      <c r="E33" s="18"/>
      <c r="F33" s="18"/>
      <c r="G33" s="18"/>
      <c r="H33" s="18"/>
      <c r="I33" s="18"/>
      <c r="J33" s="18"/>
      <c r="K33" s="18"/>
    </row>
    <row r="34">
      <c r="A34" s="63">
        <v>33.0</v>
      </c>
      <c r="B34" s="25">
        <f>A34-B51</f>
        <v>5.2</v>
      </c>
      <c r="C34" s="18"/>
      <c r="D34" s="18"/>
      <c r="E34" s="18"/>
      <c r="F34" s="18"/>
      <c r="G34" s="18"/>
      <c r="H34" s="18"/>
      <c r="I34" s="18"/>
      <c r="J34" s="18"/>
      <c r="K34" s="18"/>
    </row>
    <row r="35">
      <c r="A35" s="63">
        <v>27.0</v>
      </c>
      <c r="B35" s="25">
        <f>B33</f>
        <v>0.8</v>
      </c>
      <c r="C35" s="18"/>
      <c r="D35" s="18"/>
      <c r="E35" s="18"/>
      <c r="F35" s="18"/>
      <c r="G35" s="18"/>
      <c r="H35" s="18"/>
      <c r="I35" s="18"/>
      <c r="J35" s="18"/>
      <c r="K35" s="18"/>
    </row>
    <row r="36">
      <c r="A36" s="63">
        <v>23.0</v>
      </c>
      <c r="B36" s="25">
        <f t="shared" ref="B36:B37" si="4">B27</f>
        <v>4.8</v>
      </c>
      <c r="C36" s="18"/>
      <c r="D36" s="18"/>
      <c r="E36" s="18"/>
      <c r="F36" s="18"/>
      <c r="G36" s="18"/>
      <c r="H36" s="18"/>
      <c r="I36" s="18"/>
      <c r="J36" s="18"/>
      <c r="K36" s="18"/>
    </row>
    <row r="37">
      <c r="A37" s="63">
        <v>28.0</v>
      </c>
      <c r="B37" s="25">
        <f t="shared" si="4"/>
        <v>0.2</v>
      </c>
      <c r="C37" s="18"/>
      <c r="D37" s="18"/>
      <c r="E37" s="18"/>
      <c r="F37" s="18"/>
      <c r="G37" s="18"/>
      <c r="H37" s="18"/>
      <c r="I37" s="18"/>
      <c r="J37" s="18"/>
      <c r="K37" s="18"/>
    </row>
    <row r="38">
      <c r="A38" s="63">
        <v>29.0</v>
      </c>
      <c r="B38" s="25">
        <f>B25</f>
        <v>1.2</v>
      </c>
      <c r="C38" s="18"/>
      <c r="D38" s="18"/>
      <c r="E38" s="18"/>
      <c r="F38" s="18"/>
      <c r="G38" s="18"/>
      <c r="H38" s="18"/>
      <c r="I38" s="18"/>
      <c r="J38" s="18"/>
      <c r="K38" s="18"/>
    </row>
    <row r="39">
      <c r="A39" s="63">
        <v>31.0</v>
      </c>
      <c r="B39" s="25">
        <f>B31</f>
        <v>3.2</v>
      </c>
      <c r="C39" s="18"/>
      <c r="D39" s="18"/>
      <c r="E39" s="18"/>
      <c r="F39" s="18"/>
      <c r="G39" s="18"/>
      <c r="H39" s="18"/>
      <c r="I39" s="18"/>
      <c r="J39" s="18"/>
      <c r="K39" s="18"/>
    </row>
    <row r="40">
      <c r="A40" s="63">
        <v>35.0</v>
      </c>
      <c r="B40" s="25">
        <f>A40-B51</f>
        <v>7.2</v>
      </c>
      <c r="C40" s="18"/>
      <c r="D40" s="18"/>
      <c r="E40" s="18"/>
      <c r="F40" s="18"/>
      <c r="G40" s="18"/>
      <c r="H40" s="18"/>
      <c r="I40" s="18"/>
      <c r="J40" s="18"/>
      <c r="K40" s="18"/>
    </row>
    <row r="41">
      <c r="A41" s="63">
        <v>34.0</v>
      </c>
      <c r="B41" s="25">
        <f>A41-B51</f>
        <v>6.2</v>
      </c>
      <c r="C41" s="18"/>
      <c r="D41" s="18"/>
      <c r="E41" s="18"/>
      <c r="F41" s="18"/>
      <c r="G41" s="18"/>
      <c r="H41" s="18"/>
      <c r="I41" s="18"/>
      <c r="J41" s="18"/>
      <c r="K41" s="18"/>
    </row>
    <row r="42">
      <c r="A42" s="63">
        <v>22.0</v>
      </c>
      <c r="B42" s="25">
        <f>(A42-B51)*-1</f>
        <v>5.8</v>
      </c>
      <c r="C42" s="18"/>
      <c r="D42" s="18"/>
      <c r="E42" s="18"/>
      <c r="F42" s="18"/>
      <c r="G42" s="18"/>
      <c r="H42" s="18"/>
      <c r="I42" s="18"/>
      <c r="J42" s="18"/>
      <c r="K42" s="18"/>
    </row>
    <row r="43">
      <c r="A43" s="63">
        <v>26.0</v>
      </c>
      <c r="B43" s="25">
        <f>B30</f>
        <v>1.8</v>
      </c>
      <c r="C43" s="18"/>
      <c r="D43" s="18"/>
      <c r="E43" s="18"/>
      <c r="F43" s="18"/>
      <c r="G43" s="18"/>
      <c r="H43" s="18"/>
      <c r="I43" s="18"/>
      <c r="J43" s="18"/>
      <c r="K43" s="18"/>
    </row>
    <row r="44">
      <c r="A44" s="63">
        <v>28.0</v>
      </c>
      <c r="B44" s="25">
        <f>B37</f>
        <v>0.2</v>
      </c>
      <c r="C44" s="18"/>
      <c r="D44" s="18"/>
      <c r="E44" s="18"/>
      <c r="F44" s="18"/>
      <c r="G44" s="18"/>
      <c r="H44" s="18"/>
      <c r="I44" s="18"/>
      <c r="J44" s="18"/>
      <c r="K44" s="18"/>
    </row>
    <row r="45">
      <c r="A45" s="63">
        <v>23.0</v>
      </c>
      <c r="B45" s="25">
        <f>B36</f>
        <v>4.8</v>
      </c>
      <c r="C45" s="18"/>
      <c r="D45" s="18"/>
      <c r="E45" s="18"/>
      <c r="F45" s="18"/>
      <c r="G45" s="18"/>
      <c r="H45" s="18"/>
      <c r="I45" s="18"/>
      <c r="J45" s="18"/>
      <c r="K45" s="18"/>
    </row>
    <row r="46">
      <c r="A46" s="63">
        <v>35.0</v>
      </c>
      <c r="B46" s="25">
        <f>B40</f>
        <v>7.2</v>
      </c>
      <c r="C46" s="18"/>
      <c r="D46" s="18"/>
      <c r="E46" s="18"/>
      <c r="F46" s="18"/>
      <c r="G46" s="18"/>
      <c r="H46" s="18"/>
      <c r="I46" s="18"/>
      <c r="J46" s="18"/>
      <c r="K46" s="18"/>
    </row>
    <row r="47">
      <c r="A47" s="63">
        <v>31.0</v>
      </c>
      <c r="B47" s="25">
        <f>B39</f>
        <v>3.2</v>
      </c>
      <c r="C47" s="18"/>
      <c r="D47" s="18"/>
      <c r="E47" s="18"/>
      <c r="F47" s="18"/>
      <c r="G47" s="18"/>
      <c r="H47" s="18"/>
      <c r="I47" s="18"/>
      <c r="J47" s="18"/>
      <c r="K47" s="18"/>
    </row>
    <row r="48">
      <c r="A48" s="63">
        <v>27.0</v>
      </c>
      <c r="B48" s="25">
        <f>B33</f>
        <v>0.8</v>
      </c>
      <c r="C48" s="18"/>
      <c r="D48" s="18"/>
      <c r="E48" s="18"/>
      <c r="F48" s="18"/>
      <c r="G48" s="18"/>
      <c r="H48" s="18"/>
      <c r="I48" s="18"/>
      <c r="J48" s="18"/>
      <c r="K48" s="18"/>
    </row>
    <row r="49">
      <c r="A49" s="18" t="s">
        <v>89</v>
      </c>
      <c r="B49" s="20">
        <f>SUM(A19:A48)</f>
        <v>834</v>
      </c>
      <c r="C49" s="18"/>
      <c r="D49" s="18"/>
      <c r="E49" s="18"/>
      <c r="F49" s="18"/>
      <c r="G49" s="18"/>
      <c r="H49" s="18"/>
      <c r="I49" s="18"/>
      <c r="J49" s="18"/>
      <c r="K49" s="18"/>
    </row>
    <row r="50">
      <c r="A50" s="18" t="s">
        <v>90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>
      <c r="A51" s="18" t="s">
        <v>17</v>
      </c>
      <c r="B51" s="20">
        <f>B49/30</f>
        <v>27.8</v>
      </c>
      <c r="C51" s="18"/>
      <c r="D51" s="18"/>
      <c r="E51" s="18"/>
      <c r="F51" s="18"/>
      <c r="G51" s="18"/>
      <c r="H51" s="18"/>
      <c r="I51" s="18"/>
      <c r="J51" s="18"/>
      <c r="K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>
      <c r="A53" s="22" t="s">
        <v>91</v>
      </c>
      <c r="B53" s="22"/>
      <c r="C53" s="18"/>
      <c r="D53" s="18"/>
      <c r="E53" s="18"/>
      <c r="F53" s="18"/>
      <c r="G53" s="18"/>
      <c r="H53" s="18"/>
      <c r="I53" s="18"/>
      <c r="J53" s="18"/>
      <c r="K53" s="18"/>
    </row>
    <row r="54">
      <c r="A54" s="64" t="s">
        <v>92</v>
      </c>
      <c r="B54" s="44" t="s">
        <v>93</v>
      </c>
      <c r="C54" s="18"/>
      <c r="D54" s="18"/>
      <c r="E54" s="18"/>
      <c r="F54" s="18"/>
      <c r="G54" s="18"/>
      <c r="H54" s="18"/>
      <c r="I54" s="18"/>
      <c r="J54" s="18"/>
      <c r="K54" s="18"/>
    </row>
    <row r="55">
      <c r="A55" s="65">
        <v>171.0</v>
      </c>
      <c r="B55" s="66">
        <f>A55-C55</f>
        <v>3.3</v>
      </c>
      <c r="C55" s="20">
        <f>B99</f>
        <v>167.7</v>
      </c>
      <c r="D55" s="18"/>
      <c r="E55" s="18"/>
      <c r="F55" s="18"/>
      <c r="G55" s="18"/>
      <c r="H55" s="18"/>
      <c r="I55" s="18"/>
      <c r="J55" s="18"/>
      <c r="K55" s="18"/>
    </row>
    <row r="56">
      <c r="A56" s="65">
        <v>161.0</v>
      </c>
      <c r="B56" s="66">
        <f>C55-A56</f>
        <v>6.7</v>
      </c>
      <c r="C56" s="18"/>
      <c r="D56" s="18"/>
      <c r="E56" s="18"/>
      <c r="F56" s="18"/>
      <c r="G56" s="18"/>
      <c r="H56" s="18"/>
      <c r="I56" s="18"/>
      <c r="J56" s="18"/>
      <c r="K56" s="18"/>
    </row>
    <row r="57">
      <c r="A57" s="65">
        <v>155.0</v>
      </c>
      <c r="B57" s="66">
        <f>C55-A57</f>
        <v>12.7</v>
      </c>
      <c r="C57" s="18"/>
      <c r="D57" s="18"/>
      <c r="E57" s="18"/>
      <c r="F57" s="18"/>
      <c r="G57" s="18"/>
      <c r="H57" s="18"/>
      <c r="I57" s="18"/>
      <c r="J57" s="18"/>
      <c r="K57" s="18"/>
    </row>
    <row r="58">
      <c r="A58" s="65">
        <v>155.0</v>
      </c>
      <c r="B58" s="66">
        <f>C55-A58</f>
        <v>12.7</v>
      </c>
      <c r="C58" s="18"/>
      <c r="D58" s="18"/>
      <c r="E58" s="18"/>
      <c r="F58" s="18"/>
      <c r="G58" s="18"/>
      <c r="H58" s="18"/>
      <c r="I58" s="18"/>
      <c r="J58" s="18"/>
      <c r="K58" s="18"/>
    </row>
    <row r="59">
      <c r="A59" s="65">
        <v>183.0</v>
      </c>
      <c r="B59" s="66">
        <f>A59-C55</f>
        <v>15.3</v>
      </c>
      <c r="C59" s="18"/>
      <c r="D59" s="18"/>
      <c r="E59" s="18"/>
      <c r="F59" s="18"/>
      <c r="G59" s="18"/>
      <c r="H59" s="18"/>
      <c r="I59" s="18"/>
      <c r="J59" s="18"/>
      <c r="K59" s="18"/>
    </row>
    <row r="60">
      <c r="A60" s="65">
        <v>191.0</v>
      </c>
      <c r="B60" s="66">
        <f>A60-C55</f>
        <v>23.3</v>
      </c>
      <c r="C60" s="18"/>
      <c r="D60" s="18"/>
      <c r="E60" s="18"/>
      <c r="F60" s="18"/>
      <c r="G60" s="18"/>
      <c r="H60" s="18"/>
      <c r="I60" s="18"/>
      <c r="J60" s="18"/>
      <c r="K60" s="18"/>
    </row>
    <row r="61">
      <c r="A61" s="65">
        <v>185.0</v>
      </c>
      <c r="B61" s="66">
        <f>A61-C55</f>
        <v>17.3</v>
      </c>
      <c r="C61" s="18"/>
      <c r="D61" s="18"/>
      <c r="E61" s="18"/>
      <c r="F61" s="18"/>
      <c r="G61" s="18"/>
      <c r="H61" s="18"/>
      <c r="I61" s="18"/>
      <c r="J61" s="18"/>
      <c r="K61" s="18"/>
    </row>
    <row r="62">
      <c r="A62" s="65">
        <v>170.0</v>
      </c>
      <c r="B62" s="66">
        <f>A62-C55</f>
        <v>2.3</v>
      </c>
      <c r="C62" s="18"/>
      <c r="D62" s="18"/>
      <c r="E62" s="18"/>
      <c r="F62" s="18"/>
      <c r="G62" s="18"/>
      <c r="H62" s="18"/>
      <c r="I62" s="18"/>
      <c r="J62" s="18"/>
      <c r="K62" s="18"/>
    </row>
    <row r="63">
      <c r="A63" s="65">
        <v>172.0</v>
      </c>
      <c r="B63" s="66">
        <f>A63-C55</f>
        <v>4.3</v>
      </c>
      <c r="C63" s="18"/>
      <c r="D63" s="18"/>
      <c r="E63" s="18"/>
      <c r="F63" s="18"/>
      <c r="G63" s="18"/>
      <c r="H63" s="18"/>
      <c r="I63" s="18"/>
      <c r="J63" s="18"/>
      <c r="K63" s="18"/>
    </row>
    <row r="64">
      <c r="A64" s="65">
        <v>177.0</v>
      </c>
      <c r="B64" s="66">
        <f>A64-C55</f>
        <v>9.3</v>
      </c>
      <c r="C64" s="18"/>
      <c r="D64" s="18"/>
      <c r="E64" s="18"/>
      <c r="F64" s="18"/>
      <c r="G64" s="18"/>
      <c r="H64" s="18"/>
      <c r="I64" s="18"/>
      <c r="J64" s="18"/>
      <c r="K64" s="18"/>
    </row>
    <row r="65">
      <c r="A65" s="65">
        <v>183.0</v>
      </c>
      <c r="B65" s="66">
        <f>A65-C55</f>
        <v>15.3</v>
      </c>
      <c r="C65" s="18"/>
      <c r="D65" s="18"/>
      <c r="E65" s="18"/>
      <c r="F65" s="18"/>
      <c r="G65" s="18"/>
      <c r="H65" s="18"/>
      <c r="I65" s="18"/>
      <c r="J65" s="18"/>
      <c r="K65" s="18"/>
    </row>
    <row r="66">
      <c r="A66" s="65">
        <v>190.0</v>
      </c>
      <c r="B66" s="66">
        <f>A66-C55</f>
        <v>22.3</v>
      </c>
      <c r="C66" s="18"/>
      <c r="D66" s="18"/>
      <c r="E66" s="18"/>
      <c r="F66" s="18"/>
      <c r="G66" s="18"/>
      <c r="H66" s="18"/>
      <c r="I66" s="18"/>
      <c r="J66" s="18"/>
      <c r="K66" s="18"/>
    </row>
    <row r="67">
      <c r="A67" s="65">
        <v>139.0</v>
      </c>
      <c r="B67" s="66">
        <f>C55-A67</f>
        <v>28.7</v>
      </c>
      <c r="C67" s="18"/>
      <c r="D67" s="18"/>
      <c r="E67" s="18"/>
      <c r="F67" s="18"/>
      <c r="G67" s="18"/>
      <c r="H67" s="18"/>
      <c r="I67" s="18"/>
      <c r="J67" s="18"/>
      <c r="K67" s="18"/>
    </row>
    <row r="68">
      <c r="A68" s="65">
        <v>149.0</v>
      </c>
      <c r="B68" s="66">
        <f>C55-A68</f>
        <v>18.7</v>
      </c>
      <c r="C68" s="18"/>
      <c r="D68" s="18"/>
      <c r="E68" s="18"/>
      <c r="F68" s="18"/>
      <c r="G68" s="18"/>
      <c r="H68" s="18"/>
      <c r="I68" s="18"/>
      <c r="J68" s="18"/>
      <c r="K68" s="18"/>
    </row>
    <row r="69">
      <c r="A69" s="65">
        <v>150.0</v>
      </c>
      <c r="B69" s="66">
        <f>C55-A69</f>
        <v>17.7</v>
      </c>
      <c r="C69" s="18"/>
      <c r="D69" s="18"/>
      <c r="E69" s="18"/>
      <c r="F69" s="18"/>
      <c r="G69" s="18"/>
      <c r="H69" s="18"/>
      <c r="I69" s="18"/>
      <c r="J69" s="18"/>
      <c r="K69" s="18"/>
    </row>
    <row r="70">
      <c r="A70" s="65">
        <v>150.0</v>
      </c>
      <c r="B70" s="66">
        <f>B69</f>
        <v>17.7</v>
      </c>
      <c r="C70" s="18"/>
      <c r="D70" s="18"/>
      <c r="E70" s="18"/>
      <c r="F70" s="18"/>
      <c r="G70" s="18"/>
      <c r="H70" s="18"/>
      <c r="I70" s="18"/>
      <c r="J70" s="18"/>
      <c r="K70" s="18"/>
    </row>
    <row r="71">
      <c r="A71" s="65">
        <v>152.0</v>
      </c>
      <c r="B71" s="66">
        <f>C55-A71</f>
        <v>15.7</v>
      </c>
      <c r="C71" s="18"/>
      <c r="D71" s="18"/>
      <c r="E71" s="18"/>
      <c r="F71" s="18"/>
      <c r="G71" s="18"/>
      <c r="H71" s="18"/>
      <c r="I71" s="18"/>
      <c r="J71" s="18"/>
      <c r="K71" s="18"/>
    </row>
    <row r="72">
      <c r="A72" s="65">
        <v>158.0</v>
      </c>
      <c r="B72" s="66">
        <f>C55-A72</f>
        <v>9.7</v>
      </c>
      <c r="C72" s="18"/>
      <c r="D72" s="18"/>
      <c r="E72" s="18"/>
      <c r="F72" s="18"/>
      <c r="G72" s="18"/>
      <c r="H72" s="18"/>
      <c r="I72" s="18"/>
      <c r="J72" s="18"/>
      <c r="K72" s="18"/>
    </row>
    <row r="73">
      <c r="A73" s="65">
        <v>159.0</v>
      </c>
      <c r="B73" s="66">
        <f>C55-A73</f>
        <v>8.7</v>
      </c>
      <c r="C73" s="18"/>
      <c r="D73" s="18"/>
      <c r="E73" s="18"/>
      <c r="F73" s="18"/>
      <c r="G73" s="18"/>
      <c r="H73" s="18"/>
      <c r="I73" s="18"/>
      <c r="J73" s="18"/>
      <c r="K73" s="18"/>
    </row>
    <row r="74">
      <c r="A74" s="65">
        <v>174.0</v>
      </c>
      <c r="B74" s="66">
        <f>A74-C55</f>
        <v>6.3</v>
      </c>
      <c r="C74" s="18"/>
      <c r="D74" s="18"/>
      <c r="E74" s="18"/>
      <c r="F74" s="18"/>
      <c r="G74" s="18"/>
      <c r="H74" s="18"/>
      <c r="I74" s="18"/>
      <c r="J74" s="18"/>
      <c r="K74" s="18"/>
    </row>
    <row r="75">
      <c r="A75" s="65">
        <v>178.0</v>
      </c>
      <c r="B75" s="66">
        <f>A75-C55</f>
        <v>10.3</v>
      </c>
      <c r="C75" s="18"/>
      <c r="D75" s="18"/>
      <c r="E75" s="18"/>
      <c r="F75" s="18"/>
      <c r="G75" s="18"/>
      <c r="H75" s="18"/>
      <c r="I75" s="18"/>
      <c r="J75" s="18"/>
      <c r="K75" s="18"/>
    </row>
    <row r="76">
      <c r="A76" s="65">
        <v>179.0</v>
      </c>
      <c r="B76" s="66">
        <f>A76-C55</f>
        <v>11.3</v>
      </c>
      <c r="C76" s="18"/>
      <c r="D76" s="18"/>
      <c r="E76" s="18"/>
      <c r="F76" s="18"/>
      <c r="G76" s="18"/>
      <c r="H76" s="18"/>
      <c r="I76" s="18"/>
      <c r="J76" s="18"/>
      <c r="K76" s="18"/>
    </row>
    <row r="77">
      <c r="A77" s="65">
        <v>190.0</v>
      </c>
      <c r="B77" s="66">
        <f>A77-C55</f>
        <v>22.3</v>
      </c>
      <c r="C77" s="18"/>
      <c r="D77" s="18"/>
      <c r="E77" s="18"/>
      <c r="F77" s="18"/>
      <c r="G77" s="18"/>
      <c r="H77" s="18"/>
      <c r="I77" s="18"/>
      <c r="J77" s="18"/>
      <c r="K77" s="18"/>
    </row>
    <row r="78">
      <c r="A78" s="65">
        <v>170.0</v>
      </c>
      <c r="B78" s="66">
        <f>A78-C55</f>
        <v>2.3</v>
      </c>
      <c r="C78" s="18"/>
      <c r="D78" s="18"/>
      <c r="E78" s="18"/>
      <c r="F78" s="18"/>
      <c r="G78" s="18"/>
      <c r="H78" s="18"/>
      <c r="I78" s="18"/>
      <c r="J78" s="18"/>
      <c r="K78" s="18"/>
    </row>
    <row r="79">
      <c r="A79" s="65">
        <v>143.0</v>
      </c>
      <c r="B79" s="66">
        <f>C55-A79</f>
        <v>24.7</v>
      </c>
      <c r="C79" s="18"/>
      <c r="D79" s="18"/>
      <c r="E79" s="18"/>
      <c r="F79" s="18"/>
      <c r="G79" s="18"/>
      <c r="H79" s="18"/>
      <c r="I79" s="18"/>
      <c r="J79" s="18"/>
      <c r="K79" s="18"/>
    </row>
    <row r="80">
      <c r="A80" s="65">
        <v>165.0</v>
      </c>
      <c r="B80" s="66">
        <f>C55-A80</f>
        <v>2.7</v>
      </c>
      <c r="C80" s="18"/>
      <c r="D80" s="18"/>
      <c r="E80" s="18"/>
      <c r="F80" s="18"/>
      <c r="G80" s="18"/>
      <c r="H80" s="18"/>
      <c r="I80" s="18"/>
      <c r="J80" s="18"/>
      <c r="K80" s="18"/>
    </row>
    <row r="81">
      <c r="A81" s="65">
        <v>167.0</v>
      </c>
      <c r="B81" s="66">
        <f>B99-A81</f>
        <v>0.7</v>
      </c>
      <c r="C81" s="18"/>
      <c r="D81" s="18"/>
      <c r="E81" s="18"/>
      <c r="F81" s="18"/>
      <c r="G81" s="18"/>
      <c r="H81" s="18"/>
      <c r="I81" s="18"/>
      <c r="J81" s="18"/>
      <c r="K81" s="18"/>
    </row>
    <row r="82">
      <c r="A82" s="65">
        <v>187.0</v>
      </c>
      <c r="B82" s="66">
        <f>A82-B99</f>
        <v>19.3</v>
      </c>
      <c r="C82" s="18"/>
      <c r="D82" s="18"/>
      <c r="E82" s="18"/>
      <c r="F82" s="18"/>
      <c r="G82" s="18"/>
      <c r="H82" s="18"/>
      <c r="I82" s="18"/>
      <c r="J82" s="18"/>
      <c r="K82" s="18"/>
    </row>
    <row r="83">
      <c r="A83" s="65">
        <v>169.0</v>
      </c>
      <c r="B83" s="66">
        <f>A83-B99</f>
        <v>1.3</v>
      </c>
      <c r="C83" s="18"/>
      <c r="D83" s="18"/>
      <c r="E83" s="18"/>
      <c r="F83" s="18"/>
      <c r="G83" s="18"/>
      <c r="H83" s="18"/>
      <c r="I83" s="18"/>
      <c r="J83" s="18"/>
      <c r="K83" s="18"/>
    </row>
    <row r="84">
      <c r="A84" s="65">
        <v>182.0</v>
      </c>
      <c r="B84" s="66">
        <f>A84-B99</f>
        <v>14.3</v>
      </c>
      <c r="C84" s="18"/>
      <c r="D84" s="18"/>
      <c r="E84" s="18"/>
      <c r="F84" s="18"/>
      <c r="G84" s="18"/>
      <c r="H84" s="18"/>
      <c r="I84" s="18"/>
      <c r="J84" s="18"/>
      <c r="K84" s="18"/>
    </row>
    <row r="85">
      <c r="A85" s="65">
        <v>163.0</v>
      </c>
      <c r="B85" s="66">
        <f>B99-A85</f>
        <v>4.7</v>
      </c>
      <c r="C85" s="18"/>
      <c r="D85" s="18"/>
      <c r="E85" s="18"/>
      <c r="F85" s="18"/>
      <c r="G85" s="18"/>
      <c r="H85" s="18"/>
      <c r="I85" s="18"/>
      <c r="J85" s="18"/>
      <c r="K85" s="18"/>
    </row>
    <row r="86">
      <c r="A86" s="65">
        <v>149.0</v>
      </c>
      <c r="B86" s="66">
        <f>B99-A86</f>
        <v>18.7</v>
      </c>
      <c r="C86" s="18"/>
      <c r="D86" s="18"/>
      <c r="E86" s="18"/>
      <c r="F86" s="18"/>
      <c r="G86" s="18"/>
      <c r="H86" s="18"/>
      <c r="I86" s="18"/>
      <c r="J86" s="18"/>
      <c r="K86" s="18"/>
    </row>
    <row r="87">
      <c r="A87" s="65">
        <v>174.0</v>
      </c>
      <c r="B87" s="66">
        <f>A87-B99</f>
        <v>6.3</v>
      </c>
      <c r="C87" s="18"/>
      <c r="D87" s="18"/>
      <c r="E87" s="18"/>
      <c r="F87" s="18"/>
      <c r="G87" s="18"/>
      <c r="H87" s="18"/>
      <c r="I87" s="18"/>
      <c r="J87" s="18"/>
      <c r="K87" s="18"/>
    </row>
    <row r="88">
      <c r="A88" s="65">
        <v>177.0</v>
      </c>
      <c r="B88" s="66">
        <f>A88-B99</f>
        <v>9.3</v>
      </c>
      <c r="C88" s="18"/>
      <c r="D88" s="18"/>
      <c r="E88" s="18"/>
      <c r="F88" s="18"/>
      <c r="G88" s="18"/>
      <c r="H88" s="18"/>
      <c r="I88" s="18"/>
      <c r="J88" s="18"/>
      <c r="K88" s="18"/>
    </row>
    <row r="89">
      <c r="A89" s="65">
        <v>181.0</v>
      </c>
      <c r="B89" s="66">
        <f>A89-B99</f>
        <v>13.3</v>
      </c>
      <c r="C89" s="18"/>
      <c r="D89" s="18"/>
      <c r="E89" s="18"/>
      <c r="F89" s="18"/>
      <c r="G89" s="18"/>
      <c r="H89" s="18"/>
      <c r="I89" s="18"/>
      <c r="J89" s="18"/>
      <c r="K89" s="18"/>
    </row>
    <row r="90">
      <c r="A90" s="65">
        <v>170.0</v>
      </c>
      <c r="B90" s="66">
        <f>A90-B99</f>
        <v>2.3</v>
      </c>
      <c r="C90" s="18"/>
      <c r="D90" s="18"/>
      <c r="E90" s="18"/>
      <c r="F90" s="18"/>
      <c r="G90" s="18"/>
      <c r="H90" s="18"/>
      <c r="I90" s="18"/>
      <c r="J90" s="18"/>
      <c r="K90" s="18"/>
    </row>
    <row r="91">
      <c r="A91" s="65">
        <v>182.0</v>
      </c>
      <c r="B91" s="66">
        <f>A91-B99</f>
        <v>14.3</v>
      </c>
      <c r="C91" s="18"/>
      <c r="D91" s="18"/>
      <c r="E91" s="18"/>
      <c r="F91" s="18"/>
      <c r="G91" s="18"/>
      <c r="H91" s="18"/>
      <c r="I91" s="18"/>
      <c r="J91" s="18"/>
      <c r="K91" s="18"/>
    </row>
    <row r="92">
      <c r="A92" s="65">
        <v>170.0</v>
      </c>
      <c r="B92" s="66">
        <f>A92-B99</f>
        <v>2.3</v>
      </c>
      <c r="C92" s="18"/>
      <c r="D92" s="18"/>
      <c r="E92" s="18"/>
      <c r="F92" s="18"/>
      <c r="G92" s="18"/>
      <c r="H92" s="18"/>
      <c r="I92" s="18"/>
      <c r="J92" s="18"/>
      <c r="K92" s="18"/>
    </row>
    <row r="93">
      <c r="A93" s="65">
        <v>145.0</v>
      </c>
      <c r="B93" s="66">
        <f>B99-A93</f>
        <v>22.7</v>
      </c>
      <c r="C93" s="18"/>
      <c r="D93" s="18"/>
      <c r="E93" s="18"/>
      <c r="F93" s="18"/>
      <c r="G93" s="18"/>
      <c r="H93" s="18"/>
      <c r="I93" s="18"/>
      <c r="J93" s="18"/>
      <c r="K93" s="18"/>
    </row>
    <row r="94">
      <c r="A94" s="67">
        <v>143.0</v>
      </c>
      <c r="B94" s="68">
        <f>B99-A94</f>
        <v>24.7</v>
      </c>
      <c r="C94" s="18"/>
      <c r="D94" s="18"/>
      <c r="E94" s="18"/>
      <c r="F94" s="18"/>
      <c r="G94" s="18"/>
      <c r="H94" s="18"/>
      <c r="I94" s="18"/>
      <c r="J94" s="18"/>
      <c r="K94" s="18"/>
    </row>
    <row r="95">
      <c r="A95" s="69" t="s">
        <v>94</v>
      </c>
      <c r="B95" s="69" t="s">
        <v>87</v>
      </c>
      <c r="C95" s="69"/>
      <c r="D95" s="18"/>
      <c r="E95" s="18"/>
      <c r="F95" s="18"/>
      <c r="G95" s="18"/>
      <c r="H95" s="18"/>
      <c r="I95" s="18"/>
      <c r="J95" s="18"/>
      <c r="K95" s="18"/>
    </row>
    <row r="96">
      <c r="A96" s="70">
        <f t="shared" ref="A96:B96" si="5">SUM(A53:A95)</f>
        <v>6708</v>
      </c>
      <c r="B96" s="70">
        <f t="shared" si="5"/>
        <v>495.8</v>
      </c>
      <c r="C96" s="69" t="s">
        <v>88</v>
      </c>
      <c r="D96" s="18"/>
      <c r="E96" s="18"/>
      <c r="F96" s="18"/>
      <c r="G96" s="18"/>
      <c r="H96" s="18"/>
      <c r="I96" s="18"/>
      <c r="J96" s="18"/>
      <c r="K96" s="18"/>
    </row>
    <row r="97">
      <c r="A97" s="69" t="s">
        <v>52</v>
      </c>
      <c r="B97" s="69"/>
      <c r="C97" s="70">
        <f>B96/A98</f>
        <v>12.395</v>
      </c>
      <c r="D97" s="18"/>
      <c r="E97" s="18"/>
      <c r="F97" s="18"/>
      <c r="G97" s="18"/>
      <c r="H97" s="18"/>
      <c r="I97" s="18"/>
      <c r="J97" s="18"/>
      <c r="K97" s="18"/>
    </row>
    <row r="98">
      <c r="A98" s="70">
        <f>40</f>
        <v>40</v>
      </c>
      <c r="B98" s="69"/>
      <c r="C98" s="69"/>
      <c r="D98" s="18"/>
      <c r="E98" s="18"/>
      <c r="F98" s="18"/>
      <c r="G98" s="18"/>
      <c r="H98" s="18"/>
      <c r="I98" s="18"/>
      <c r="J98" s="18"/>
      <c r="K98" s="18"/>
    </row>
    <row r="99">
      <c r="A99" s="69" t="s">
        <v>17</v>
      </c>
      <c r="B99" s="70">
        <f>A96/A98</f>
        <v>167.7</v>
      </c>
      <c r="C99" s="69"/>
      <c r="D99" s="18"/>
      <c r="E99" s="18"/>
      <c r="F99" s="18"/>
      <c r="G99" s="18"/>
      <c r="H99" s="18"/>
      <c r="I99" s="18"/>
      <c r="J99" s="18"/>
      <c r="K99" s="18"/>
    </row>
    <row r="100">
      <c r="A100" s="69"/>
      <c r="B100" s="69"/>
      <c r="C100" s="69"/>
      <c r="D100" s="18"/>
      <c r="E100" s="18"/>
      <c r="F100" s="18"/>
      <c r="G100" s="18"/>
      <c r="H100" s="18"/>
      <c r="I100" s="18"/>
      <c r="J100" s="18"/>
      <c r="K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>
      <c r="A103" s="18" t="s">
        <v>95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>
      <c r="A104" s="19" t="s">
        <v>0</v>
      </c>
      <c r="B104" s="19" t="s">
        <v>1</v>
      </c>
      <c r="C104" s="18" t="s">
        <v>2</v>
      </c>
      <c r="D104" s="18" t="s">
        <v>96</v>
      </c>
      <c r="E104" s="18" t="s">
        <v>93</v>
      </c>
      <c r="F104" s="71" t="s">
        <v>97</v>
      </c>
      <c r="G104" s="18"/>
      <c r="H104" s="18"/>
      <c r="I104" s="18"/>
      <c r="J104" s="18"/>
      <c r="K104" s="18"/>
    </row>
    <row r="105">
      <c r="A105" s="19" t="s">
        <v>5</v>
      </c>
      <c r="B105" s="21">
        <v>5.0</v>
      </c>
      <c r="C105" s="20">
        <v>4.0</v>
      </c>
      <c r="D105" s="20">
        <f t="shared" ref="D105:D114" si="6">B105*C105</f>
        <v>20</v>
      </c>
      <c r="E105" s="20">
        <f>B117-C105</f>
        <v>62.47401247</v>
      </c>
      <c r="F105" s="20">
        <f t="shared" ref="F105:F114" si="7">E105*B105</f>
        <v>312.3700624</v>
      </c>
      <c r="G105" s="18"/>
      <c r="H105" s="18"/>
      <c r="I105" s="18"/>
      <c r="J105" s="18"/>
      <c r="K105" s="18"/>
    </row>
    <row r="106">
      <c r="A106" s="19" t="s">
        <v>6</v>
      </c>
      <c r="B106" s="21">
        <v>9.0</v>
      </c>
      <c r="C106" s="20">
        <v>14.0</v>
      </c>
      <c r="D106" s="20">
        <f t="shared" si="6"/>
        <v>126</v>
      </c>
      <c r="E106" s="20">
        <f>B117-C106</f>
        <v>52.47401247</v>
      </c>
      <c r="F106" s="20">
        <f t="shared" si="7"/>
        <v>472.2661123</v>
      </c>
      <c r="G106" s="18"/>
      <c r="H106" s="18"/>
      <c r="I106" s="18"/>
      <c r="J106" s="18"/>
      <c r="K106" s="18"/>
    </row>
    <row r="107">
      <c r="A107" s="19" t="s">
        <v>7</v>
      </c>
      <c r="B107" s="21">
        <v>17.0</v>
      </c>
      <c r="C107" s="20">
        <v>24.0</v>
      </c>
      <c r="D107" s="20">
        <f t="shared" si="6"/>
        <v>408</v>
      </c>
      <c r="E107" s="20">
        <f>B117-C107</f>
        <v>42.47401247</v>
      </c>
      <c r="F107" s="20">
        <f t="shared" si="7"/>
        <v>722.0582121</v>
      </c>
      <c r="G107" s="18"/>
      <c r="H107" s="18"/>
      <c r="I107" s="18"/>
      <c r="J107" s="18"/>
      <c r="K107" s="18"/>
    </row>
    <row r="108">
      <c r="A108" s="19" t="s">
        <v>8</v>
      </c>
      <c r="B108" s="21">
        <v>29.0</v>
      </c>
      <c r="C108" s="20">
        <v>34.0</v>
      </c>
      <c r="D108" s="20">
        <f t="shared" si="6"/>
        <v>986</v>
      </c>
      <c r="E108" s="20">
        <f>B117-C108</f>
        <v>32.47401247</v>
      </c>
      <c r="F108" s="20">
        <f t="shared" si="7"/>
        <v>941.7463617</v>
      </c>
      <c r="G108" s="18"/>
      <c r="H108" s="18"/>
      <c r="I108" s="18"/>
      <c r="J108" s="18"/>
      <c r="K108" s="18"/>
    </row>
    <row r="109">
      <c r="A109" s="19" t="s">
        <v>9</v>
      </c>
      <c r="B109" s="21">
        <v>45.0</v>
      </c>
      <c r="C109" s="20">
        <v>44.0</v>
      </c>
      <c r="D109" s="20">
        <f t="shared" si="6"/>
        <v>1980</v>
      </c>
      <c r="E109" s="20">
        <f>B117-C109</f>
        <v>22.47401247</v>
      </c>
      <c r="F109" s="20">
        <f t="shared" si="7"/>
        <v>1011.330561</v>
      </c>
      <c r="G109" s="18"/>
      <c r="H109" s="18" t="s">
        <v>98</v>
      </c>
      <c r="I109" s="20">
        <f>F115/B115</f>
        <v>18.21785003</v>
      </c>
      <c r="J109" s="18"/>
      <c r="K109" s="18"/>
    </row>
    <row r="110">
      <c r="A110" s="19" t="s">
        <v>10</v>
      </c>
      <c r="B110" s="21">
        <v>60.0</v>
      </c>
      <c r="C110" s="20">
        <v>54.0</v>
      </c>
      <c r="D110" s="20">
        <f t="shared" si="6"/>
        <v>3240</v>
      </c>
      <c r="E110" s="20">
        <f>B117-C110</f>
        <v>12.47401247</v>
      </c>
      <c r="F110" s="20">
        <f t="shared" si="7"/>
        <v>748.4407484</v>
      </c>
      <c r="G110" s="18"/>
      <c r="H110" s="18"/>
      <c r="I110" s="18"/>
      <c r="J110" s="18"/>
      <c r="K110" s="18"/>
    </row>
    <row r="111">
      <c r="A111" s="19" t="s">
        <v>11</v>
      </c>
      <c r="B111" s="21">
        <v>70.0</v>
      </c>
      <c r="C111" s="20">
        <v>64.0</v>
      </c>
      <c r="D111" s="20">
        <f t="shared" si="6"/>
        <v>4480</v>
      </c>
      <c r="E111" s="20">
        <f>B117-C111</f>
        <v>2.474012474</v>
      </c>
      <c r="F111" s="20">
        <f t="shared" si="7"/>
        <v>173.1808732</v>
      </c>
      <c r="G111" s="18"/>
      <c r="H111" s="18"/>
      <c r="I111" s="18"/>
      <c r="J111" s="18"/>
      <c r="K111" s="18"/>
    </row>
    <row r="112">
      <c r="A112" s="19" t="s">
        <v>12</v>
      </c>
      <c r="B112" s="21">
        <v>78.0</v>
      </c>
      <c r="C112" s="20">
        <v>74.0</v>
      </c>
      <c r="D112" s="20">
        <f t="shared" si="6"/>
        <v>5772</v>
      </c>
      <c r="E112" s="20">
        <f>C112-B117</f>
        <v>7.525987526</v>
      </c>
      <c r="F112" s="20">
        <f t="shared" si="7"/>
        <v>587.027027</v>
      </c>
      <c r="G112" s="18"/>
      <c r="H112" s="18"/>
      <c r="I112" s="18"/>
      <c r="J112" s="18"/>
      <c r="K112" s="18"/>
    </row>
    <row r="113">
      <c r="A113" s="19" t="s">
        <v>13</v>
      </c>
      <c r="B113" s="21">
        <v>83.0</v>
      </c>
      <c r="C113" s="20">
        <v>84.0</v>
      </c>
      <c r="D113" s="20">
        <f t="shared" si="6"/>
        <v>6972</v>
      </c>
      <c r="E113" s="20">
        <f>C113-B117</f>
        <v>17.52598753</v>
      </c>
      <c r="F113" s="20">
        <f t="shared" si="7"/>
        <v>1454.656965</v>
      </c>
      <c r="G113" s="18"/>
      <c r="H113" s="18"/>
      <c r="I113" s="18"/>
      <c r="J113" s="18"/>
      <c r="K113" s="18"/>
    </row>
    <row r="114">
      <c r="A114" s="19" t="s">
        <v>14</v>
      </c>
      <c r="B114" s="21">
        <v>85.0</v>
      </c>
      <c r="C114" s="20">
        <v>94.0</v>
      </c>
      <c r="D114" s="20">
        <f t="shared" si="6"/>
        <v>7990</v>
      </c>
      <c r="E114" s="20">
        <f>C114-B117</f>
        <v>27.52598753</v>
      </c>
      <c r="F114" s="20">
        <f t="shared" si="7"/>
        <v>2339.70894</v>
      </c>
      <c r="G114" s="18"/>
      <c r="H114" s="18"/>
      <c r="I114" s="18"/>
      <c r="J114" s="18"/>
      <c r="K114" s="18"/>
    </row>
    <row r="115">
      <c r="A115" s="18" t="s">
        <v>15</v>
      </c>
      <c r="B115" s="20">
        <f>SUM(B105:B114)</f>
        <v>481</v>
      </c>
      <c r="C115" s="18" t="s">
        <v>16</v>
      </c>
      <c r="D115" s="20">
        <f>SUM(D105:D114)</f>
        <v>31974</v>
      </c>
      <c r="E115" s="18"/>
      <c r="F115" s="20">
        <f>SUM(F105:F114)</f>
        <v>8762.785863</v>
      </c>
      <c r="G115" s="18"/>
      <c r="H115" s="18"/>
      <c r="I115" s="18"/>
      <c r="J115" s="18"/>
      <c r="K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>
      <c r="A117" s="18" t="s">
        <v>17</v>
      </c>
      <c r="B117" s="20">
        <f>D115/B115</f>
        <v>66.47401247</v>
      </c>
      <c r="C117" s="18"/>
      <c r="D117" s="18"/>
      <c r="E117" s="18"/>
      <c r="F117" s="18"/>
      <c r="G117" s="18"/>
      <c r="H117" s="18"/>
      <c r="I117" s="18"/>
      <c r="J117" s="18"/>
      <c r="K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>
      <c r="A121" s="22"/>
      <c r="B121" s="22"/>
      <c r="C121" s="22"/>
      <c r="D121" s="18"/>
      <c r="E121" s="18"/>
      <c r="F121" s="18"/>
      <c r="G121" s="18"/>
      <c r="H121" s="18"/>
      <c r="I121" s="18"/>
      <c r="J121" s="18"/>
      <c r="K121" s="18"/>
    </row>
    <row r="122">
      <c r="A122" s="23" t="s">
        <v>18</v>
      </c>
      <c r="B122" s="24" t="s">
        <v>0</v>
      </c>
      <c r="C122" s="24" t="s">
        <v>19</v>
      </c>
      <c r="D122" s="18"/>
      <c r="E122" s="18" t="s">
        <v>2</v>
      </c>
      <c r="F122" s="18" t="s">
        <v>3</v>
      </c>
      <c r="G122" s="71" t="s">
        <v>93</v>
      </c>
      <c r="H122" s="18" t="s">
        <v>97</v>
      </c>
      <c r="I122" s="18"/>
      <c r="J122" s="18"/>
      <c r="K122" s="18"/>
    </row>
    <row r="123">
      <c r="A123" s="23"/>
      <c r="B123" s="24" t="s">
        <v>20</v>
      </c>
      <c r="C123" s="25">
        <v>20.0</v>
      </c>
      <c r="D123" s="18"/>
      <c r="E123" s="20">
        <v>5.0</v>
      </c>
      <c r="F123" s="20">
        <f t="shared" ref="F123:F127" si="8">E123*C123</f>
        <v>100</v>
      </c>
      <c r="G123" s="20">
        <f>B129-E123</f>
        <v>20.85714286</v>
      </c>
      <c r="H123" s="20">
        <f t="shared" ref="H123:H127" si="9">G123*C123</f>
        <v>417.1428571</v>
      </c>
      <c r="I123" s="18"/>
      <c r="J123" s="18"/>
      <c r="K123" s="18"/>
    </row>
    <row r="124">
      <c r="A124" s="23"/>
      <c r="B124" s="24" t="s">
        <v>21</v>
      </c>
      <c r="C124" s="25">
        <v>24.0</v>
      </c>
      <c r="D124" s="18"/>
      <c r="E124" s="20">
        <v>15.0</v>
      </c>
      <c r="F124" s="20">
        <f t="shared" si="8"/>
        <v>360</v>
      </c>
      <c r="G124" s="20">
        <f>B129-E124</f>
        <v>10.85714286</v>
      </c>
      <c r="H124" s="20">
        <f t="shared" si="9"/>
        <v>260.5714286</v>
      </c>
      <c r="I124" s="18"/>
      <c r="J124" s="18"/>
      <c r="K124" s="18"/>
    </row>
    <row r="125">
      <c r="A125" s="23"/>
      <c r="B125" s="24" t="s">
        <v>22</v>
      </c>
      <c r="C125" s="25">
        <v>40.0</v>
      </c>
      <c r="D125" s="18"/>
      <c r="E125" s="20">
        <v>25.0</v>
      </c>
      <c r="F125" s="20">
        <f t="shared" si="8"/>
        <v>1000</v>
      </c>
      <c r="G125" s="20">
        <f>B129-E125</f>
        <v>0.8571428571</v>
      </c>
      <c r="H125" s="20">
        <f t="shared" si="9"/>
        <v>34.28571429</v>
      </c>
      <c r="I125" s="18" t="s">
        <v>88</v>
      </c>
      <c r="J125" s="20">
        <f>H128/C128</f>
        <v>10.17142857</v>
      </c>
      <c r="K125" s="18"/>
    </row>
    <row r="126">
      <c r="A126" s="23"/>
      <c r="B126" s="24" t="s">
        <v>23</v>
      </c>
      <c r="C126" s="25">
        <v>36.0</v>
      </c>
      <c r="D126" s="18"/>
      <c r="E126" s="20">
        <v>35.0</v>
      </c>
      <c r="F126" s="20">
        <f t="shared" si="8"/>
        <v>1260</v>
      </c>
      <c r="G126" s="20">
        <f>E126-B129</f>
        <v>9.142857143</v>
      </c>
      <c r="H126" s="20">
        <f t="shared" si="9"/>
        <v>329.1428571</v>
      </c>
      <c r="I126" s="18"/>
      <c r="J126" s="18"/>
      <c r="K126" s="18"/>
    </row>
    <row r="127">
      <c r="A127" s="23"/>
      <c r="B127" s="24" t="s">
        <v>24</v>
      </c>
      <c r="C127" s="25">
        <v>20.0</v>
      </c>
      <c r="D127" s="18"/>
      <c r="E127" s="20">
        <v>45.0</v>
      </c>
      <c r="F127" s="20">
        <f t="shared" si="8"/>
        <v>900</v>
      </c>
      <c r="G127" s="20">
        <f>E127-B129</f>
        <v>19.14285714</v>
      </c>
      <c r="H127" s="20">
        <f t="shared" si="9"/>
        <v>382.8571429</v>
      </c>
      <c r="I127" s="18"/>
      <c r="J127" s="18"/>
      <c r="K127" s="18"/>
    </row>
    <row r="128">
      <c r="A128" s="18"/>
      <c r="B128" s="18"/>
      <c r="C128" s="20">
        <f>SUM(C123:C127)</f>
        <v>140</v>
      </c>
      <c r="D128" s="18"/>
      <c r="E128" s="18"/>
      <c r="F128" s="20">
        <f>SUM(F123:F127)</f>
        <v>3620</v>
      </c>
      <c r="G128" s="18"/>
      <c r="H128" s="20">
        <f>SUM(H123:H127)</f>
        <v>1424</v>
      </c>
      <c r="I128" s="18"/>
      <c r="J128" s="18"/>
      <c r="K128" s="18"/>
    </row>
    <row r="129">
      <c r="A129" s="18" t="s">
        <v>17</v>
      </c>
      <c r="B129" s="20">
        <f>F128/C128</f>
        <v>25.85714286</v>
      </c>
      <c r="C129" s="18"/>
      <c r="D129" s="18"/>
      <c r="E129" s="18"/>
      <c r="F129" s="18"/>
      <c r="G129" s="18"/>
      <c r="H129" s="18"/>
      <c r="I129" s="18"/>
      <c r="J129" s="18"/>
      <c r="K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>
      <c r="A134" s="18" t="s">
        <v>26</v>
      </c>
      <c r="B134" s="22"/>
      <c r="C134" s="22"/>
      <c r="D134" s="18"/>
      <c r="E134" s="18"/>
      <c r="F134" s="18"/>
      <c r="G134" s="18"/>
      <c r="H134" s="18"/>
      <c r="I134" s="18"/>
      <c r="J134" s="18"/>
      <c r="K134" s="18"/>
    </row>
    <row r="135">
      <c r="A135" s="26"/>
      <c r="B135" s="27" t="s">
        <v>27</v>
      </c>
      <c r="C135" s="27" t="s">
        <v>28</v>
      </c>
      <c r="D135" s="18"/>
      <c r="E135" s="18" t="s">
        <v>2</v>
      </c>
      <c r="F135" s="18" t="s">
        <v>3</v>
      </c>
      <c r="G135" s="20">
        <f>F143-E136</f>
        <v>15.15</v>
      </c>
      <c r="H135" s="18"/>
      <c r="I135" s="18"/>
      <c r="J135" s="18"/>
      <c r="K135" s="18"/>
    </row>
    <row r="136">
      <c r="A136" s="26"/>
      <c r="B136" s="27" t="s">
        <v>29</v>
      </c>
      <c r="C136" s="30">
        <v>8.0</v>
      </c>
      <c r="D136" s="18"/>
      <c r="E136" s="20">
        <v>87.0</v>
      </c>
      <c r="F136" s="20">
        <f t="shared" ref="F136:F141" si="10">E136*C136</f>
        <v>696</v>
      </c>
      <c r="G136" s="20">
        <f>F143-E137</f>
        <v>10.15</v>
      </c>
      <c r="H136" s="20">
        <f t="shared" ref="H136:H141" si="11">G135*C136</f>
        <v>121.2</v>
      </c>
      <c r="I136" s="18"/>
      <c r="J136" s="18"/>
      <c r="K136" s="18"/>
    </row>
    <row r="137">
      <c r="A137" s="26"/>
      <c r="B137" s="27" t="s">
        <v>30</v>
      </c>
      <c r="C137" s="30">
        <v>10.0</v>
      </c>
      <c r="D137" s="18"/>
      <c r="E137" s="20">
        <v>92.0</v>
      </c>
      <c r="F137" s="20">
        <f t="shared" si="10"/>
        <v>920</v>
      </c>
      <c r="G137" s="20">
        <f>F143-E138</f>
        <v>4.15</v>
      </c>
      <c r="H137" s="20">
        <f t="shared" si="11"/>
        <v>101.5</v>
      </c>
      <c r="I137" s="18"/>
      <c r="J137" s="18"/>
      <c r="K137" s="18"/>
    </row>
    <row r="138">
      <c r="A138" s="26"/>
      <c r="B138" s="27" t="s">
        <v>31</v>
      </c>
      <c r="C138" s="30">
        <v>16.0</v>
      </c>
      <c r="D138" s="18"/>
      <c r="E138" s="20">
        <v>98.0</v>
      </c>
      <c r="F138" s="20">
        <f t="shared" si="10"/>
        <v>1568</v>
      </c>
      <c r="G138" s="20">
        <f>E139-F143</f>
        <v>1.85</v>
      </c>
      <c r="H138" s="20">
        <f t="shared" si="11"/>
        <v>66.4</v>
      </c>
      <c r="I138" s="18" t="s">
        <v>99</v>
      </c>
      <c r="J138" s="20">
        <f>H142/C142</f>
        <v>7.2275</v>
      </c>
      <c r="K138" s="18"/>
    </row>
    <row r="139">
      <c r="A139" s="26"/>
      <c r="B139" s="27" t="s">
        <v>32</v>
      </c>
      <c r="C139" s="30">
        <v>23.0</v>
      </c>
      <c r="D139" s="18"/>
      <c r="E139" s="20">
        <v>104.0</v>
      </c>
      <c r="F139" s="20">
        <f t="shared" si="10"/>
        <v>2392</v>
      </c>
      <c r="G139" s="20">
        <f>E140-F143</f>
        <v>7.85</v>
      </c>
      <c r="H139" s="20">
        <f t="shared" si="11"/>
        <v>42.55</v>
      </c>
      <c r="I139" s="18"/>
      <c r="J139" s="18"/>
      <c r="K139" s="18"/>
    </row>
    <row r="140">
      <c r="A140" s="26"/>
      <c r="B140" s="27" t="s">
        <v>33</v>
      </c>
      <c r="C140" s="30">
        <v>12.0</v>
      </c>
      <c r="D140" s="18"/>
      <c r="E140" s="20">
        <v>110.0</v>
      </c>
      <c r="F140" s="20">
        <f t="shared" si="10"/>
        <v>1320</v>
      </c>
      <c r="G140" s="20">
        <f>E141-F143</f>
        <v>13.85</v>
      </c>
      <c r="H140" s="20">
        <f t="shared" si="11"/>
        <v>94.2</v>
      </c>
      <c r="I140" s="18"/>
      <c r="J140" s="18"/>
      <c r="K140" s="18"/>
    </row>
    <row r="141">
      <c r="A141" s="26"/>
      <c r="B141" s="27" t="s">
        <v>34</v>
      </c>
      <c r="C141" s="30">
        <v>11.0</v>
      </c>
      <c r="D141" s="18"/>
      <c r="E141" s="20">
        <v>116.0</v>
      </c>
      <c r="F141" s="20">
        <f t="shared" si="10"/>
        <v>1276</v>
      </c>
      <c r="G141" s="18"/>
      <c r="H141" s="20">
        <f t="shared" si="11"/>
        <v>152.35</v>
      </c>
      <c r="I141" s="18"/>
      <c r="J141" s="18"/>
      <c r="K141" s="18"/>
    </row>
    <row r="142">
      <c r="A142" s="18"/>
      <c r="B142" s="18"/>
      <c r="C142" s="20">
        <f>SUM(C136:C141)</f>
        <v>80</v>
      </c>
      <c r="D142" s="18"/>
      <c r="E142" s="18"/>
      <c r="F142" s="20">
        <f>SUM(F136:F141)</f>
        <v>8172</v>
      </c>
      <c r="G142" s="18"/>
      <c r="H142" s="20">
        <f>SUM(H136:H141)</f>
        <v>578.2</v>
      </c>
      <c r="I142" s="18"/>
      <c r="J142" s="18"/>
      <c r="K142" s="18"/>
    </row>
    <row r="143">
      <c r="A143" s="18"/>
      <c r="B143" s="18"/>
      <c r="C143" s="18"/>
      <c r="D143" s="18"/>
      <c r="E143" s="18" t="s">
        <v>17</v>
      </c>
      <c r="F143" s="20">
        <f>F142/C142</f>
        <v>102.15</v>
      </c>
      <c r="G143" s="18"/>
      <c r="H143" s="18"/>
      <c r="I143" s="18"/>
      <c r="J143" s="18"/>
      <c r="K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>
      <c r="A145" s="22"/>
      <c r="B145" s="22"/>
      <c r="C145" s="22"/>
      <c r="D145" s="18"/>
      <c r="E145" s="18"/>
      <c r="F145" s="18"/>
      <c r="G145" s="18"/>
      <c r="H145" s="18"/>
      <c r="I145" s="18"/>
      <c r="J145" s="18"/>
      <c r="K145" s="18"/>
    </row>
    <row r="146">
      <c r="A146" s="31" t="s">
        <v>35</v>
      </c>
      <c r="B146" s="29"/>
      <c r="C146" s="29"/>
      <c r="D146" s="18"/>
      <c r="E146" s="18" t="s">
        <v>2</v>
      </c>
      <c r="F146" s="18" t="s">
        <v>3</v>
      </c>
      <c r="G146" s="18" t="s">
        <v>100</v>
      </c>
      <c r="H146" s="71" t="s">
        <v>101</v>
      </c>
      <c r="I146" s="18"/>
      <c r="J146" s="18"/>
      <c r="K146" s="18"/>
    </row>
    <row r="147">
      <c r="A147" s="31"/>
      <c r="B147" s="29" t="s">
        <v>27</v>
      </c>
      <c r="C147" s="29" t="s">
        <v>36</v>
      </c>
      <c r="D147" s="18"/>
      <c r="E147" s="20">
        <v>49.0</v>
      </c>
      <c r="F147" s="20">
        <f t="shared" ref="F147:F151" si="12">E147*C148</f>
        <v>294</v>
      </c>
      <c r="G147" s="20">
        <f>C154-E147</f>
        <v>214</v>
      </c>
      <c r="H147" s="20">
        <f t="shared" ref="H147:H151" si="13">G147*C148</f>
        <v>1284</v>
      </c>
      <c r="I147" s="18"/>
      <c r="J147" s="18"/>
      <c r="K147" s="18"/>
    </row>
    <row r="148">
      <c r="A148" s="31"/>
      <c r="B148" s="29" t="s">
        <v>37</v>
      </c>
      <c r="C148" s="32">
        <v>6.0</v>
      </c>
      <c r="D148" s="18"/>
      <c r="E148" s="20">
        <v>149.0</v>
      </c>
      <c r="F148" s="20">
        <f t="shared" si="12"/>
        <v>1341</v>
      </c>
      <c r="G148" s="20">
        <f>C154-E148</f>
        <v>114</v>
      </c>
      <c r="H148" s="20">
        <f t="shared" si="13"/>
        <v>1026</v>
      </c>
      <c r="I148" s="18"/>
      <c r="J148" s="18"/>
      <c r="K148" s="18"/>
    </row>
    <row r="149">
      <c r="A149" s="31"/>
      <c r="B149" s="29" t="s">
        <v>38</v>
      </c>
      <c r="C149" s="32">
        <v>9.0</v>
      </c>
      <c r="D149" s="18"/>
      <c r="E149" s="20">
        <v>249.0</v>
      </c>
      <c r="F149" s="20">
        <f t="shared" si="12"/>
        <v>3735</v>
      </c>
      <c r="G149" s="20">
        <f>C154-E149</f>
        <v>14</v>
      </c>
      <c r="H149" s="20">
        <f t="shared" si="13"/>
        <v>210</v>
      </c>
      <c r="I149" s="18" t="s">
        <v>99</v>
      </c>
      <c r="J149" s="20">
        <f>H152/C153</f>
        <v>100.8</v>
      </c>
      <c r="K149" s="18"/>
    </row>
    <row r="150">
      <c r="A150" s="31"/>
      <c r="B150" s="29" t="s">
        <v>39</v>
      </c>
      <c r="C150" s="32">
        <v>15.0</v>
      </c>
      <c r="D150" s="18"/>
      <c r="E150" s="20">
        <v>349.0</v>
      </c>
      <c r="F150" s="20">
        <f t="shared" si="12"/>
        <v>4188</v>
      </c>
      <c r="G150" s="20">
        <f>E150-C154</f>
        <v>86</v>
      </c>
      <c r="H150" s="20">
        <f t="shared" si="13"/>
        <v>1032</v>
      </c>
      <c r="I150" s="18"/>
      <c r="J150" s="18"/>
      <c r="K150" s="18"/>
    </row>
    <row r="151">
      <c r="A151" s="31"/>
      <c r="B151" s="29" t="s">
        <v>40</v>
      </c>
      <c r="C151" s="32">
        <v>12.0</v>
      </c>
      <c r="D151" s="18"/>
      <c r="E151" s="20">
        <v>449.0</v>
      </c>
      <c r="F151" s="20">
        <f t="shared" si="12"/>
        <v>3592</v>
      </c>
      <c r="G151" s="20">
        <f>E151-C154</f>
        <v>186</v>
      </c>
      <c r="H151" s="20">
        <f t="shared" si="13"/>
        <v>1488</v>
      </c>
      <c r="I151" s="18"/>
      <c r="J151" s="18"/>
      <c r="K151" s="18"/>
    </row>
    <row r="152">
      <c r="A152" s="31"/>
      <c r="B152" s="29" t="s">
        <v>41</v>
      </c>
      <c r="C152" s="32">
        <v>8.0</v>
      </c>
      <c r="D152" s="18"/>
      <c r="E152" s="18"/>
      <c r="F152" s="20">
        <f>SUM(F147:F151)</f>
        <v>13150</v>
      </c>
      <c r="G152" s="18"/>
      <c r="H152" s="20">
        <f>SUM(H147:H151)</f>
        <v>5040</v>
      </c>
      <c r="I152" s="18"/>
      <c r="J152" s="18"/>
      <c r="K152" s="18"/>
    </row>
    <row r="153">
      <c r="A153" s="18"/>
      <c r="B153" s="18"/>
      <c r="C153" s="20">
        <f>SUM(C148:C152)</f>
        <v>50</v>
      </c>
      <c r="D153" s="18"/>
      <c r="E153" s="18"/>
      <c r="F153" s="18"/>
      <c r="G153" s="18"/>
      <c r="H153" s="18"/>
      <c r="I153" s="18"/>
      <c r="J153" s="18"/>
      <c r="K153" s="18"/>
    </row>
    <row r="154">
      <c r="A154" s="18"/>
      <c r="B154" s="18" t="s">
        <v>17</v>
      </c>
      <c r="C154" s="20">
        <f>F152/C153</f>
        <v>263</v>
      </c>
      <c r="D154" s="18"/>
      <c r="E154" s="18"/>
      <c r="F154" s="18"/>
      <c r="G154" s="18"/>
      <c r="H154" s="18"/>
      <c r="I154" s="18"/>
      <c r="J154" s="18"/>
      <c r="K154" s="18"/>
    </row>
    <row r="155">
      <c r="A155" s="22"/>
      <c r="B155" s="22"/>
      <c r="C155" s="22"/>
      <c r="D155" s="18"/>
      <c r="E155" s="18"/>
      <c r="F155" s="18"/>
      <c r="G155" s="18"/>
      <c r="H155" s="18"/>
      <c r="I155" s="18"/>
      <c r="J155" s="18"/>
      <c r="K155" s="18"/>
    </row>
    <row r="156">
      <c r="A156" s="33" t="s">
        <v>42</v>
      </c>
      <c r="B156" s="34"/>
      <c r="C156" s="34"/>
      <c r="D156" s="18"/>
      <c r="E156" s="18"/>
      <c r="F156" s="18"/>
      <c r="G156" s="18"/>
      <c r="H156" s="18"/>
      <c r="I156" s="18"/>
      <c r="J156" s="18"/>
      <c r="K156" s="18"/>
    </row>
    <row r="157">
      <c r="A157" s="33"/>
      <c r="B157" s="34" t="s">
        <v>27</v>
      </c>
      <c r="C157" s="34" t="s">
        <v>28</v>
      </c>
      <c r="D157" s="18"/>
      <c r="E157" s="18" t="s">
        <v>2</v>
      </c>
      <c r="F157" s="18" t="s">
        <v>3</v>
      </c>
      <c r="G157" s="18"/>
      <c r="H157" s="18"/>
      <c r="I157" s="18"/>
      <c r="J157" s="18"/>
      <c r="K157" s="18"/>
    </row>
    <row r="158">
      <c r="A158" s="33"/>
      <c r="B158" s="34" t="s">
        <v>43</v>
      </c>
      <c r="C158" s="35">
        <v>6.0</v>
      </c>
      <c r="D158" s="18"/>
      <c r="E158" s="20">
        <v>29.0</v>
      </c>
      <c r="F158" s="20">
        <f t="shared" ref="F158:F162" si="14">E158*C158</f>
        <v>174</v>
      </c>
      <c r="G158" s="20">
        <f>C164-E158</f>
        <v>19.5</v>
      </c>
      <c r="H158" s="20">
        <f t="shared" ref="H158:H162" si="15">G158*C158</f>
        <v>117</v>
      </c>
      <c r="I158" s="18"/>
      <c r="J158" s="18"/>
      <c r="K158" s="18"/>
    </row>
    <row r="159">
      <c r="A159" s="33"/>
      <c r="B159" s="34" t="s">
        <v>44</v>
      </c>
      <c r="C159" s="35">
        <v>10.0</v>
      </c>
      <c r="D159" s="18"/>
      <c r="E159" s="20">
        <v>39.0</v>
      </c>
      <c r="F159" s="20">
        <f t="shared" si="14"/>
        <v>390</v>
      </c>
      <c r="G159" s="20">
        <f>C164-E159</f>
        <v>9.5</v>
      </c>
      <c r="H159" s="20">
        <f t="shared" si="15"/>
        <v>95</v>
      </c>
      <c r="I159" s="18"/>
      <c r="J159" s="18"/>
      <c r="K159" s="18"/>
    </row>
    <row r="160">
      <c r="A160" s="33"/>
      <c r="B160" s="34" t="s">
        <v>45</v>
      </c>
      <c r="C160" s="35">
        <v>8.0</v>
      </c>
      <c r="D160" s="18"/>
      <c r="E160" s="20">
        <v>49.0</v>
      </c>
      <c r="F160" s="20">
        <f t="shared" si="14"/>
        <v>392</v>
      </c>
      <c r="G160" s="20">
        <f>E160-C164</f>
        <v>0.5</v>
      </c>
      <c r="H160" s="20">
        <f t="shared" si="15"/>
        <v>4</v>
      </c>
      <c r="I160" s="18" t="s">
        <v>99</v>
      </c>
      <c r="J160" s="20">
        <f>H163/C163</f>
        <v>10.6</v>
      </c>
      <c r="K160" s="18"/>
    </row>
    <row r="161">
      <c r="A161" s="33"/>
      <c r="B161" s="34" t="s">
        <v>46</v>
      </c>
      <c r="C161" s="35">
        <v>12.0</v>
      </c>
      <c r="D161" s="18"/>
      <c r="E161" s="20">
        <v>59.0</v>
      </c>
      <c r="F161" s="20">
        <f t="shared" si="14"/>
        <v>708</v>
      </c>
      <c r="G161" s="20">
        <f>E161-C164</f>
        <v>10.5</v>
      </c>
      <c r="H161" s="20">
        <f t="shared" si="15"/>
        <v>126</v>
      </c>
      <c r="I161" s="18"/>
      <c r="J161" s="18"/>
      <c r="K161" s="18"/>
    </row>
    <row r="162">
      <c r="A162" s="33"/>
      <c r="B162" s="34" t="s">
        <v>47</v>
      </c>
      <c r="C162" s="35">
        <v>4.0</v>
      </c>
      <c r="D162" s="18"/>
      <c r="E162" s="20">
        <v>69.0</v>
      </c>
      <c r="F162" s="20">
        <f t="shared" si="14"/>
        <v>276</v>
      </c>
      <c r="G162" s="20">
        <f>E162-C164</f>
        <v>20.5</v>
      </c>
      <c r="H162" s="20">
        <f t="shared" si="15"/>
        <v>82</v>
      </c>
      <c r="I162" s="18"/>
      <c r="J162" s="18"/>
      <c r="K162" s="18"/>
    </row>
    <row r="163">
      <c r="A163" s="18"/>
      <c r="B163" s="18"/>
      <c r="C163" s="20">
        <f>SUM(C158:C162)</f>
        <v>40</v>
      </c>
      <c r="D163" s="18"/>
      <c r="E163" s="18"/>
      <c r="F163" s="20">
        <f>SUM(F158:F162)</f>
        <v>1940</v>
      </c>
      <c r="G163" s="18"/>
      <c r="H163" s="20">
        <f>SUM(H158:H162)</f>
        <v>424</v>
      </c>
      <c r="I163" s="18"/>
      <c r="J163" s="18"/>
      <c r="K163" s="18"/>
    </row>
    <row r="164">
      <c r="A164" s="18"/>
      <c r="B164" s="18" t="s">
        <v>17</v>
      </c>
      <c r="C164" s="20">
        <f>F163/C163</f>
        <v>48.5</v>
      </c>
      <c r="D164" s="18"/>
      <c r="E164" s="18"/>
      <c r="F164" s="18"/>
      <c r="G164" s="18"/>
      <c r="H164" s="18"/>
      <c r="I164" s="18"/>
      <c r="J164" s="18"/>
      <c r="K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>
      <c r="A166" s="22"/>
      <c r="B166" s="22"/>
      <c r="C166" s="22"/>
      <c r="D166" s="18"/>
      <c r="E166" s="18"/>
      <c r="F166" s="18"/>
      <c r="G166" s="18"/>
      <c r="H166" s="18"/>
      <c r="I166" s="18"/>
      <c r="J166" s="18"/>
      <c r="K166" s="18"/>
    </row>
    <row r="167">
      <c r="A167" s="36" t="s">
        <v>48</v>
      </c>
      <c r="B167" s="37"/>
      <c r="C167" s="37"/>
      <c r="D167" s="18"/>
      <c r="E167" s="18"/>
      <c r="F167" s="18"/>
      <c r="G167" s="18"/>
      <c r="H167" s="18"/>
      <c r="I167" s="18"/>
      <c r="J167" s="18"/>
      <c r="K167" s="18"/>
    </row>
    <row r="168">
      <c r="A168" s="36"/>
      <c r="B168" s="37" t="s">
        <v>27</v>
      </c>
      <c r="C168" s="37" t="s">
        <v>28</v>
      </c>
      <c r="D168" s="18"/>
      <c r="E168" s="18" t="s">
        <v>2</v>
      </c>
      <c r="F168" s="18" t="s">
        <v>3</v>
      </c>
      <c r="G168" s="18"/>
      <c r="H168" s="18"/>
      <c r="I168" s="18"/>
      <c r="J168" s="18"/>
      <c r="K168" s="18"/>
    </row>
    <row r="169">
      <c r="A169" s="36"/>
      <c r="B169" s="37" t="s">
        <v>20</v>
      </c>
      <c r="C169" s="38">
        <v>7.0</v>
      </c>
      <c r="D169" s="18"/>
      <c r="E169" s="20">
        <v>4.0</v>
      </c>
      <c r="F169" s="20">
        <f t="shared" ref="F169:F174" si="16">E169*C169</f>
        <v>28</v>
      </c>
      <c r="G169" s="20">
        <f>C176-E169</f>
        <v>23.75</v>
      </c>
      <c r="H169" s="20">
        <f t="shared" ref="H169:H174" si="17">G169*C169</f>
        <v>166.25</v>
      </c>
      <c r="I169" s="18"/>
      <c r="J169" s="18"/>
      <c r="K169" s="18"/>
    </row>
    <row r="170">
      <c r="A170" s="36"/>
      <c r="B170" s="37" t="s">
        <v>21</v>
      </c>
      <c r="C170" s="38">
        <v>5.0</v>
      </c>
      <c r="D170" s="18"/>
      <c r="E170" s="20">
        <v>14.0</v>
      </c>
      <c r="F170" s="20">
        <f t="shared" si="16"/>
        <v>70</v>
      </c>
      <c r="G170" s="20">
        <f>C176-E170</f>
        <v>13.75</v>
      </c>
      <c r="H170" s="20">
        <f t="shared" si="17"/>
        <v>68.75</v>
      </c>
      <c r="I170" s="18"/>
      <c r="J170" s="18"/>
      <c r="K170" s="18"/>
    </row>
    <row r="171">
      <c r="A171" s="36"/>
      <c r="B171" s="37" t="s">
        <v>22</v>
      </c>
      <c r="C171" s="38">
        <v>6.0</v>
      </c>
      <c r="D171" s="18"/>
      <c r="E171" s="20">
        <v>24.0</v>
      </c>
      <c r="F171" s="20">
        <f t="shared" si="16"/>
        <v>144</v>
      </c>
      <c r="G171" s="20">
        <f>C176-E171</f>
        <v>3.75</v>
      </c>
      <c r="H171" s="20">
        <f t="shared" si="17"/>
        <v>22.5</v>
      </c>
      <c r="I171" s="18"/>
      <c r="J171" s="18"/>
      <c r="K171" s="18"/>
    </row>
    <row r="172">
      <c r="A172" s="36"/>
      <c r="B172" s="37" t="s">
        <v>23</v>
      </c>
      <c r="C172" s="38">
        <v>12.0</v>
      </c>
      <c r="D172" s="18"/>
      <c r="E172" s="20">
        <v>34.0</v>
      </c>
      <c r="F172" s="20">
        <f t="shared" si="16"/>
        <v>408</v>
      </c>
      <c r="G172" s="20">
        <f>E172-C176</f>
        <v>6.25</v>
      </c>
      <c r="H172" s="20">
        <f t="shared" si="17"/>
        <v>75</v>
      </c>
      <c r="I172" s="18" t="s">
        <v>99</v>
      </c>
      <c r="J172" s="20">
        <f>H175/C175</f>
        <v>12.875</v>
      </c>
      <c r="K172" s="18"/>
    </row>
    <row r="173">
      <c r="A173" s="36"/>
      <c r="B173" s="37" t="s">
        <v>24</v>
      </c>
      <c r="C173" s="38">
        <v>8.0</v>
      </c>
      <c r="D173" s="18"/>
      <c r="E173" s="20">
        <v>44.0</v>
      </c>
      <c r="F173" s="20">
        <f t="shared" si="16"/>
        <v>352</v>
      </c>
      <c r="G173" s="20">
        <f>E173-C176</f>
        <v>16.25</v>
      </c>
      <c r="H173" s="20">
        <f t="shared" si="17"/>
        <v>130</v>
      </c>
      <c r="I173" s="18"/>
      <c r="J173" s="18"/>
      <c r="K173" s="18"/>
    </row>
    <row r="174">
      <c r="A174" s="36"/>
      <c r="B174" s="37" t="s">
        <v>49</v>
      </c>
      <c r="C174" s="38">
        <v>2.0</v>
      </c>
      <c r="D174" s="18"/>
      <c r="E174" s="20">
        <v>54.0</v>
      </c>
      <c r="F174" s="20">
        <f t="shared" si="16"/>
        <v>108</v>
      </c>
      <c r="G174" s="20">
        <f>E174-C176</f>
        <v>26.25</v>
      </c>
      <c r="H174" s="20">
        <f t="shared" si="17"/>
        <v>52.5</v>
      </c>
      <c r="I174" s="18"/>
      <c r="J174" s="18"/>
      <c r="K174" s="18"/>
    </row>
    <row r="175">
      <c r="A175" s="18"/>
      <c r="B175" s="18"/>
      <c r="C175" s="20">
        <f>SUM(C169:C174)</f>
        <v>40</v>
      </c>
      <c r="D175" s="18"/>
      <c r="E175" s="18"/>
      <c r="F175" s="20">
        <f t="shared" ref="F175:H175" si="18">SUM(F169:F174)</f>
        <v>1110</v>
      </c>
      <c r="G175" s="20">
        <f t="shared" si="18"/>
        <v>90</v>
      </c>
      <c r="H175" s="20">
        <f t="shared" si="18"/>
        <v>515</v>
      </c>
      <c r="I175" s="18"/>
      <c r="J175" s="18"/>
      <c r="K175" s="18"/>
    </row>
    <row r="176">
      <c r="A176" s="18"/>
      <c r="B176" s="18" t="s">
        <v>17</v>
      </c>
      <c r="C176" s="20">
        <f>F175/C175</f>
        <v>27.75</v>
      </c>
      <c r="D176" s="18"/>
      <c r="E176" s="18"/>
      <c r="F176" s="18"/>
      <c r="G176" s="18"/>
      <c r="H176" s="18"/>
      <c r="I176" s="18"/>
      <c r="J176" s="18"/>
      <c r="K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>
      <c r="A179" s="39" t="s">
        <v>50</v>
      </c>
      <c r="B179" s="40"/>
      <c r="C179" s="40"/>
      <c r="D179" s="18"/>
      <c r="E179" s="18"/>
      <c r="F179" s="18"/>
      <c r="G179" s="18"/>
      <c r="H179" s="18"/>
      <c r="I179" s="18"/>
      <c r="J179" s="18"/>
      <c r="K179" s="18"/>
    </row>
    <row r="180">
      <c r="A180" s="39"/>
      <c r="B180" s="40" t="s">
        <v>27</v>
      </c>
      <c r="C180" s="40" t="s">
        <v>51</v>
      </c>
      <c r="F180" s="18"/>
      <c r="G180" s="18"/>
      <c r="H180" s="18"/>
      <c r="I180" s="18"/>
      <c r="J180" s="18"/>
      <c r="K180" s="18"/>
    </row>
    <row r="181">
      <c r="A181" s="39"/>
      <c r="B181" s="41">
        <v>44621.0</v>
      </c>
      <c r="C181" s="42">
        <v>12.0</v>
      </c>
      <c r="D181" s="3">
        <v>2.0</v>
      </c>
      <c r="E181" s="5">
        <f t="shared" ref="E181:E184" si="19">C181*D181</f>
        <v>24</v>
      </c>
      <c r="F181" s="18">
        <f>C186-D181</f>
        <v>3.325</v>
      </c>
      <c r="G181" s="18">
        <f t="shared" ref="G181:G184" si="20">F181*C181</f>
        <v>39.9</v>
      </c>
      <c r="H181" s="18"/>
      <c r="I181" s="18"/>
      <c r="J181" s="18"/>
      <c r="K181" s="18"/>
    </row>
    <row r="182">
      <c r="A182" s="39"/>
      <c r="B182" s="41">
        <v>44684.0</v>
      </c>
      <c r="C182" s="42">
        <v>22.0</v>
      </c>
      <c r="D182" s="3">
        <v>4.0</v>
      </c>
      <c r="E182" s="5">
        <f t="shared" si="19"/>
        <v>88</v>
      </c>
      <c r="F182" s="18">
        <f>C186-D182</f>
        <v>1.325</v>
      </c>
      <c r="G182" s="18">
        <f t="shared" si="20"/>
        <v>29.15</v>
      </c>
      <c r="H182" s="18"/>
      <c r="I182" s="18"/>
      <c r="J182" s="18"/>
      <c r="K182" s="18"/>
    </row>
    <row r="183">
      <c r="A183" s="39"/>
      <c r="B183" s="41">
        <v>44747.0</v>
      </c>
      <c r="C183" s="42">
        <v>27.0</v>
      </c>
      <c r="D183" s="3">
        <v>6.0</v>
      </c>
      <c r="E183" s="5">
        <f t="shared" si="19"/>
        <v>162</v>
      </c>
      <c r="F183" s="18">
        <f>D183-C186</f>
        <v>0.675</v>
      </c>
      <c r="G183" s="18">
        <f t="shared" si="20"/>
        <v>18.225</v>
      </c>
      <c r="H183" s="47" t="s">
        <v>102</v>
      </c>
      <c r="I183" s="18">
        <f>G185/C185</f>
        <v>1.72625</v>
      </c>
      <c r="J183" s="18"/>
      <c r="K183" s="18"/>
    </row>
    <row r="184">
      <c r="A184" s="39"/>
      <c r="B184" s="41">
        <v>44811.0</v>
      </c>
      <c r="C184" s="42">
        <v>19.0</v>
      </c>
      <c r="D184" s="3">
        <v>8.0</v>
      </c>
      <c r="E184" s="5">
        <f t="shared" si="19"/>
        <v>152</v>
      </c>
      <c r="F184" s="18">
        <f>D184-C186</f>
        <v>2.675</v>
      </c>
      <c r="G184" s="18">
        <f t="shared" si="20"/>
        <v>50.825</v>
      </c>
      <c r="H184" s="18"/>
      <c r="I184" s="18"/>
      <c r="J184" s="18"/>
      <c r="K184" s="18"/>
    </row>
    <row r="185">
      <c r="A185" s="39"/>
      <c r="B185" s="40" t="s">
        <v>52</v>
      </c>
      <c r="C185" s="42">
        <f>SUM(C181:C184)</f>
        <v>80</v>
      </c>
      <c r="E185" s="5">
        <f t="shared" ref="E185:G185" si="21">SUM(E181:E184)</f>
        <v>426</v>
      </c>
      <c r="F185" s="5">
        <f t="shared" si="21"/>
        <v>8</v>
      </c>
      <c r="G185" s="5">
        <f t="shared" si="21"/>
        <v>138.1</v>
      </c>
    </row>
    <row r="186">
      <c r="A186" s="39"/>
      <c r="B186" s="40" t="s">
        <v>17</v>
      </c>
      <c r="C186" s="42">
        <f>E185/C185</f>
        <v>5.325</v>
      </c>
    </row>
    <row r="187">
      <c r="A187" s="18"/>
      <c r="B187" s="18"/>
      <c r="C187" s="18"/>
    </row>
    <row r="188">
      <c r="A188" s="18"/>
      <c r="B188" s="18"/>
      <c r="C188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</row>
    <row r="2">
      <c r="A2" s="18"/>
      <c r="B2" s="19" t="s">
        <v>0</v>
      </c>
      <c r="C2" s="19" t="s">
        <v>1</v>
      </c>
      <c r="D2" s="18"/>
      <c r="E2" s="22" t="s">
        <v>103</v>
      </c>
      <c r="F2" s="22" t="s">
        <v>104</v>
      </c>
      <c r="G2" s="22" t="s">
        <v>105</v>
      </c>
      <c r="H2" s="18"/>
      <c r="I2" s="18"/>
      <c r="J2" s="18"/>
    </row>
    <row r="3">
      <c r="A3" s="18"/>
      <c r="B3" s="19" t="s">
        <v>5</v>
      </c>
      <c r="C3" s="21">
        <v>5.0</v>
      </c>
      <c r="D3" s="26"/>
      <c r="E3" s="43" t="s">
        <v>106</v>
      </c>
      <c r="F3" s="43" t="s">
        <v>107</v>
      </c>
      <c r="G3" s="44" t="s">
        <v>108</v>
      </c>
      <c r="H3" s="18"/>
      <c r="I3" s="18"/>
      <c r="J3" s="18"/>
    </row>
    <row r="4">
      <c r="A4" s="18"/>
      <c r="B4" s="19" t="s">
        <v>6</v>
      </c>
      <c r="C4" s="21">
        <v>9.0</v>
      </c>
      <c r="D4" s="18"/>
      <c r="E4" s="20">
        <f>(1/4)*11</f>
        <v>2.75</v>
      </c>
      <c r="F4" s="20">
        <f>G4-E4</f>
        <v>5.5</v>
      </c>
      <c r="G4" s="20">
        <f>(3/4)*11</f>
        <v>8.25</v>
      </c>
      <c r="H4" s="18"/>
      <c r="I4" s="18"/>
      <c r="J4" s="18"/>
    </row>
    <row r="5">
      <c r="A5" s="18"/>
      <c r="B5" s="19" t="s">
        <v>7</v>
      </c>
      <c r="C5" s="21">
        <v>17.0</v>
      </c>
      <c r="D5" s="18"/>
      <c r="E5" s="18"/>
      <c r="F5" s="18"/>
      <c r="G5" s="18"/>
      <c r="H5" s="18"/>
      <c r="I5" s="18"/>
      <c r="J5" s="18"/>
    </row>
    <row r="6">
      <c r="A6" s="18"/>
      <c r="B6" s="19" t="s">
        <v>8</v>
      </c>
      <c r="C6" s="21">
        <v>29.0</v>
      </c>
      <c r="D6" s="18"/>
      <c r="E6" s="20">
        <v>9.0</v>
      </c>
      <c r="F6" s="20">
        <f>(45+60)/2</f>
        <v>52.5</v>
      </c>
      <c r="G6" s="20">
        <v>78.0</v>
      </c>
      <c r="H6" s="18"/>
      <c r="I6" s="18"/>
      <c r="J6" s="18"/>
    </row>
    <row r="7">
      <c r="A7" s="18"/>
      <c r="B7" s="19" t="s">
        <v>9</v>
      </c>
      <c r="C7" s="21">
        <v>45.0</v>
      </c>
      <c r="D7" s="18"/>
      <c r="E7" s="18"/>
      <c r="F7" s="18"/>
      <c r="G7" s="18"/>
      <c r="H7" s="18"/>
      <c r="I7" s="18"/>
      <c r="J7" s="18"/>
    </row>
    <row r="8">
      <c r="A8" s="18"/>
      <c r="B8" s="19" t="s">
        <v>10</v>
      </c>
      <c r="C8" s="21">
        <v>60.0</v>
      </c>
      <c r="D8" s="18"/>
      <c r="E8" s="18"/>
      <c r="F8" s="18"/>
      <c r="G8" s="18"/>
      <c r="H8" s="18"/>
      <c r="I8" s="18"/>
      <c r="J8" s="18"/>
    </row>
    <row r="9">
      <c r="A9" s="18"/>
      <c r="B9" s="19" t="s">
        <v>11</v>
      </c>
      <c r="C9" s="21">
        <v>70.0</v>
      </c>
      <c r="D9" s="18"/>
      <c r="E9" s="18"/>
      <c r="F9" s="18"/>
      <c r="G9" s="18"/>
      <c r="H9" s="18"/>
      <c r="I9" s="18"/>
      <c r="J9" s="18"/>
    </row>
    <row r="10">
      <c r="A10" s="18"/>
      <c r="B10" s="19" t="s">
        <v>12</v>
      </c>
      <c r="C10" s="21">
        <v>78.0</v>
      </c>
      <c r="D10" s="18"/>
      <c r="E10" s="18"/>
      <c r="F10" s="18"/>
      <c r="G10" s="18"/>
      <c r="H10" s="18"/>
      <c r="I10" s="18"/>
      <c r="J10" s="18"/>
    </row>
    <row r="11">
      <c r="A11" s="18"/>
      <c r="B11" s="19" t="s">
        <v>13</v>
      </c>
      <c r="C11" s="21">
        <v>83.0</v>
      </c>
      <c r="D11" s="18"/>
      <c r="E11" s="18"/>
      <c r="F11" s="18"/>
      <c r="G11" s="18"/>
      <c r="H11" s="18"/>
      <c r="I11" s="18"/>
      <c r="J11" s="18"/>
    </row>
    <row r="12">
      <c r="A12" s="18"/>
      <c r="B12" s="19" t="s">
        <v>14</v>
      </c>
      <c r="C12" s="21">
        <v>85.0</v>
      </c>
      <c r="D12" s="18"/>
      <c r="E12" s="18"/>
      <c r="F12" s="18"/>
      <c r="G12" s="18"/>
      <c r="H12" s="18"/>
      <c r="I12" s="18"/>
      <c r="J12" s="18"/>
    </row>
    <row r="13">
      <c r="A13" s="18"/>
      <c r="B13" s="18" t="s">
        <v>15</v>
      </c>
      <c r="C13" s="20">
        <f>SUM(C3:C12)</f>
        <v>481</v>
      </c>
      <c r="D13" s="18"/>
      <c r="E13" s="18"/>
      <c r="F13" s="18"/>
      <c r="G13" s="18"/>
      <c r="H13" s="18"/>
      <c r="I13" s="18"/>
      <c r="J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>
      <c r="A15" s="22"/>
      <c r="B15" s="22"/>
      <c r="C15" s="22"/>
      <c r="D15" s="18"/>
      <c r="E15" s="18"/>
      <c r="F15" s="18"/>
      <c r="G15" s="18"/>
      <c r="H15" s="18"/>
      <c r="I15" s="18"/>
      <c r="J15" s="18"/>
    </row>
    <row r="16">
      <c r="A16" s="23" t="s">
        <v>18</v>
      </c>
      <c r="B16" s="24" t="s">
        <v>0</v>
      </c>
      <c r="C16" s="24" t="s">
        <v>19</v>
      </c>
      <c r="D16" s="18"/>
      <c r="E16" s="20">
        <f>(1/4)*6</f>
        <v>1.5</v>
      </c>
      <c r="F16" s="20">
        <f>G16-E16</f>
        <v>3</v>
      </c>
      <c r="G16" s="20">
        <f>(3/4)*6</f>
        <v>4.5</v>
      </c>
      <c r="H16" s="18"/>
      <c r="I16" s="18"/>
      <c r="J16" s="18"/>
    </row>
    <row r="17">
      <c r="A17" s="23"/>
      <c r="B17" s="24" t="s">
        <v>20</v>
      </c>
      <c r="C17" s="25">
        <v>20.0</v>
      </c>
      <c r="D17" s="18"/>
      <c r="E17" s="18"/>
      <c r="F17" s="18"/>
      <c r="G17" s="18"/>
      <c r="H17" s="18"/>
      <c r="I17" s="18"/>
      <c r="J17" s="18"/>
    </row>
    <row r="18">
      <c r="A18" s="23"/>
      <c r="B18" s="24" t="s">
        <v>21</v>
      </c>
      <c r="C18" s="25">
        <v>24.0</v>
      </c>
      <c r="D18" s="18"/>
      <c r="E18" s="20">
        <f>C17</f>
        <v>20</v>
      </c>
      <c r="F18" s="20">
        <f>(C19+C20)/2</f>
        <v>38</v>
      </c>
      <c r="G18" s="20">
        <f>C20</f>
        <v>36</v>
      </c>
      <c r="H18" s="18"/>
      <c r="I18" s="18"/>
      <c r="J18" s="18"/>
    </row>
    <row r="19">
      <c r="A19" s="23"/>
      <c r="B19" s="24" t="s">
        <v>22</v>
      </c>
      <c r="C19" s="25">
        <v>40.0</v>
      </c>
      <c r="D19" s="18"/>
      <c r="E19" s="18"/>
      <c r="F19" s="18"/>
      <c r="G19" s="18"/>
      <c r="H19" s="18"/>
      <c r="I19" s="18"/>
      <c r="J19" s="18"/>
    </row>
    <row r="20">
      <c r="A20" s="23"/>
      <c r="B20" s="24" t="s">
        <v>23</v>
      </c>
      <c r="C20" s="25">
        <v>36.0</v>
      </c>
      <c r="D20" s="18"/>
      <c r="E20" s="18"/>
      <c r="F20" s="18"/>
      <c r="G20" s="18"/>
      <c r="H20" s="18"/>
      <c r="I20" s="18"/>
      <c r="J20" s="18"/>
    </row>
    <row r="21">
      <c r="A21" s="23"/>
      <c r="B21" s="24" t="s">
        <v>24</v>
      </c>
      <c r="C21" s="25">
        <v>20.0</v>
      </c>
      <c r="D21" s="18"/>
      <c r="E21" s="18"/>
      <c r="F21" s="18"/>
      <c r="G21" s="18"/>
      <c r="H21" s="18"/>
      <c r="I21" s="18"/>
      <c r="J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 t="s">
        <v>26</v>
      </c>
      <c r="B25" s="22"/>
      <c r="C25" s="22"/>
      <c r="D25" s="18"/>
      <c r="E25" s="18"/>
      <c r="F25" s="18"/>
      <c r="G25" s="18"/>
      <c r="H25" s="18"/>
      <c r="I25" s="18"/>
      <c r="J25" s="18"/>
    </row>
    <row r="26">
      <c r="A26" s="26"/>
      <c r="B26" s="27" t="s">
        <v>27</v>
      </c>
      <c r="C26" s="27" t="s">
        <v>28</v>
      </c>
      <c r="D26" s="18"/>
      <c r="E26" s="20">
        <f>(1/4)*7</f>
        <v>1.75</v>
      </c>
      <c r="F26" s="20">
        <f>G26-E26</f>
        <v>3.5</v>
      </c>
      <c r="G26" s="20">
        <f>(3/4)*7</f>
        <v>5.25</v>
      </c>
      <c r="H26" s="18"/>
      <c r="I26" s="18"/>
      <c r="J26" s="18"/>
    </row>
    <row r="27">
      <c r="A27" s="26"/>
      <c r="B27" s="27" t="s">
        <v>29</v>
      </c>
      <c r="C27" s="30">
        <v>8.0</v>
      </c>
      <c r="D27" s="18"/>
      <c r="E27" s="18"/>
      <c r="F27" s="18"/>
      <c r="G27" s="18"/>
      <c r="H27" s="18"/>
      <c r="I27" s="18"/>
      <c r="J27" s="18"/>
    </row>
    <row r="28">
      <c r="A28" s="26"/>
      <c r="B28" s="27" t="s">
        <v>30</v>
      </c>
      <c r="C28" s="30">
        <v>10.0</v>
      </c>
      <c r="D28" s="18"/>
      <c r="E28" s="20">
        <f>C27</f>
        <v>8</v>
      </c>
      <c r="F28" s="20">
        <f>(C29+C30)/2</f>
        <v>19.5</v>
      </c>
      <c r="G28" s="20">
        <f>C31</f>
        <v>12</v>
      </c>
      <c r="H28" s="18"/>
      <c r="I28" s="18"/>
      <c r="J28" s="18"/>
    </row>
    <row r="29">
      <c r="A29" s="26"/>
      <c r="B29" s="27" t="s">
        <v>31</v>
      </c>
      <c r="C29" s="30">
        <v>16.0</v>
      </c>
      <c r="D29" s="18"/>
      <c r="E29" s="18"/>
      <c r="F29" s="18"/>
      <c r="G29" s="18"/>
      <c r="H29" s="18"/>
      <c r="I29" s="18"/>
      <c r="J29" s="18"/>
    </row>
    <row r="30">
      <c r="A30" s="26"/>
      <c r="B30" s="27" t="s">
        <v>32</v>
      </c>
      <c r="C30" s="30">
        <v>23.0</v>
      </c>
      <c r="D30" s="18"/>
      <c r="E30" s="18"/>
      <c r="F30" s="18"/>
      <c r="G30" s="18"/>
      <c r="H30" s="18"/>
      <c r="I30" s="18"/>
      <c r="J30" s="18"/>
    </row>
    <row r="31">
      <c r="A31" s="26"/>
      <c r="B31" s="27" t="s">
        <v>33</v>
      </c>
      <c r="C31" s="30">
        <v>12.0</v>
      </c>
      <c r="D31" s="18"/>
      <c r="E31" s="18"/>
      <c r="F31" s="18"/>
      <c r="G31" s="18"/>
      <c r="H31" s="18"/>
      <c r="I31" s="18"/>
      <c r="J31" s="18"/>
    </row>
    <row r="32">
      <c r="A32" s="26"/>
      <c r="B32" s="27" t="s">
        <v>34</v>
      </c>
      <c r="C32" s="30">
        <v>11.0</v>
      </c>
      <c r="D32" s="18"/>
      <c r="E32" s="18"/>
      <c r="F32" s="18"/>
      <c r="G32" s="18"/>
      <c r="H32" s="18"/>
      <c r="I32" s="18"/>
      <c r="J32" s="18"/>
    </row>
    <row r="33">
      <c r="A33" s="18"/>
      <c r="B33" s="18"/>
      <c r="C33" s="20">
        <f>SUM(C27:C32)</f>
        <v>80</v>
      </c>
      <c r="D33" s="18"/>
      <c r="E33" s="18"/>
      <c r="F33" s="18"/>
      <c r="G33" s="18"/>
      <c r="H33" s="18"/>
      <c r="I33" s="18"/>
      <c r="J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22"/>
      <c r="B36" s="22"/>
      <c r="C36" s="22"/>
      <c r="D36" s="18"/>
      <c r="E36" s="18"/>
      <c r="F36" s="18"/>
      <c r="G36" s="18"/>
      <c r="H36" s="18"/>
      <c r="I36" s="18"/>
      <c r="J36" s="18"/>
    </row>
    <row r="37">
      <c r="A37" s="31" t="s">
        <v>35</v>
      </c>
      <c r="B37" s="29"/>
      <c r="C37" s="29"/>
      <c r="D37" s="18"/>
      <c r="E37" s="18"/>
      <c r="F37" s="18"/>
      <c r="G37" s="18"/>
      <c r="H37" s="18"/>
      <c r="I37" s="18"/>
      <c r="J37" s="18"/>
    </row>
    <row r="38">
      <c r="A38" s="31"/>
      <c r="B38" s="29" t="s">
        <v>27</v>
      </c>
      <c r="C38" s="29" t="s">
        <v>36</v>
      </c>
      <c r="D38" s="18"/>
      <c r="E38" s="20">
        <f>(1/4)*6</f>
        <v>1.5</v>
      </c>
      <c r="F38" s="20">
        <f>G38-E38</f>
        <v>3</v>
      </c>
      <c r="G38" s="20">
        <f>(3/4)*6</f>
        <v>4.5</v>
      </c>
      <c r="H38" s="18"/>
      <c r="I38" s="18"/>
      <c r="J38" s="18"/>
    </row>
    <row r="39">
      <c r="A39" s="31"/>
      <c r="B39" s="29" t="s">
        <v>37</v>
      </c>
      <c r="C39" s="32">
        <v>6.0</v>
      </c>
      <c r="D39" s="18"/>
      <c r="E39" s="18"/>
      <c r="F39" s="18"/>
      <c r="G39" s="18"/>
      <c r="H39" s="18"/>
      <c r="I39" s="18"/>
      <c r="J39" s="18"/>
    </row>
    <row r="40">
      <c r="A40" s="31"/>
      <c r="B40" s="29" t="s">
        <v>38</v>
      </c>
      <c r="C40" s="32">
        <v>9.0</v>
      </c>
      <c r="D40" s="18"/>
      <c r="E40" s="20">
        <f>C39</f>
        <v>6</v>
      </c>
      <c r="F40" s="20">
        <f>(C41+C42)/2</f>
        <v>13.5</v>
      </c>
      <c r="G40" s="20">
        <f>12</f>
        <v>12</v>
      </c>
      <c r="H40" s="18"/>
      <c r="I40" s="18"/>
      <c r="J40" s="18"/>
    </row>
    <row r="41">
      <c r="A41" s="31"/>
      <c r="B41" s="29" t="s">
        <v>39</v>
      </c>
      <c r="C41" s="32">
        <v>15.0</v>
      </c>
      <c r="D41" s="18"/>
      <c r="E41" s="18"/>
      <c r="F41" s="18"/>
      <c r="G41" s="18"/>
      <c r="H41" s="18"/>
      <c r="I41" s="18"/>
      <c r="J41" s="18"/>
    </row>
    <row r="42">
      <c r="A42" s="31"/>
      <c r="B42" s="29" t="s">
        <v>40</v>
      </c>
      <c r="C42" s="32">
        <v>12.0</v>
      </c>
      <c r="D42" s="18"/>
      <c r="E42" s="18"/>
      <c r="F42" s="18"/>
      <c r="G42" s="18"/>
      <c r="H42" s="18"/>
      <c r="I42" s="18"/>
      <c r="J42" s="18"/>
    </row>
    <row r="43">
      <c r="A43" s="31"/>
      <c r="B43" s="29" t="s">
        <v>41</v>
      </c>
      <c r="C43" s="32">
        <v>8.0</v>
      </c>
      <c r="D43" s="18"/>
      <c r="E43" s="18"/>
      <c r="F43" s="18"/>
      <c r="G43" s="18"/>
      <c r="H43" s="18"/>
      <c r="I43" s="18"/>
      <c r="J43" s="18"/>
    </row>
    <row r="44">
      <c r="A44" s="18"/>
      <c r="B44" s="18"/>
      <c r="C44" s="20">
        <f>SUM(C39:C43)</f>
        <v>50</v>
      </c>
      <c r="D44" s="18"/>
      <c r="E44" s="18"/>
      <c r="F44" s="18"/>
      <c r="G44" s="18"/>
      <c r="H44" s="18"/>
      <c r="I44" s="18"/>
      <c r="J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>
      <c r="A46" s="22"/>
      <c r="B46" s="22"/>
      <c r="C46" s="22"/>
      <c r="D46" s="18"/>
      <c r="E46" s="18"/>
      <c r="F46" s="18"/>
      <c r="G46" s="18"/>
      <c r="H46" s="18"/>
      <c r="I46" s="18"/>
      <c r="J46" s="18"/>
    </row>
    <row r="47">
      <c r="A47" s="33" t="s">
        <v>42</v>
      </c>
      <c r="B47" s="34"/>
      <c r="C47" s="34"/>
      <c r="D47" s="18"/>
      <c r="E47" s="20">
        <f>(1/4)*6</f>
        <v>1.5</v>
      </c>
      <c r="F47" s="20">
        <v>3.0</v>
      </c>
      <c r="G47" s="20">
        <f>(3/4)*6</f>
        <v>4.5</v>
      </c>
      <c r="H47" s="18"/>
      <c r="I47" s="18"/>
      <c r="J47" s="18"/>
    </row>
    <row r="48">
      <c r="A48" s="33"/>
      <c r="B48" s="34" t="s">
        <v>27</v>
      </c>
      <c r="C48" s="34" t="s">
        <v>28</v>
      </c>
      <c r="D48" s="18"/>
      <c r="E48" s="18"/>
      <c r="F48" s="18"/>
      <c r="G48" s="18"/>
      <c r="H48" s="18"/>
      <c r="I48" s="18"/>
      <c r="J48" s="18"/>
    </row>
    <row r="49">
      <c r="A49" s="33"/>
      <c r="B49" s="34" t="s">
        <v>43</v>
      </c>
      <c r="C49" s="35">
        <v>6.0</v>
      </c>
      <c r="D49" s="18"/>
      <c r="E49" s="20">
        <v>6.0</v>
      </c>
      <c r="F49" s="20">
        <f>(8+12)/2</f>
        <v>10</v>
      </c>
      <c r="G49" s="20">
        <v>12.0</v>
      </c>
      <c r="H49" s="18"/>
      <c r="I49" s="18"/>
      <c r="J49" s="18"/>
    </row>
    <row r="50">
      <c r="A50" s="33"/>
      <c r="B50" s="34" t="s">
        <v>44</v>
      </c>
      <c r="C50" s="35">
        <v>10.0</v>
      </c>
      <c r="D50" s="18"/>
      <c r="E50" s="18"/>
      <c r="F50" s="18"/>
      <c r="G50" s="18"/>
      <c r="H50" s="18"/>
      <c r="I50" s="18"/>
      <c r="J50" s="18"/>
    </row>
    <row r="51">
      <c r="A51" s="33"/>
      <c r="B51" s="34" t="s">
        <v>45</v>
      </c>
      <c r="C51" s="35">
        <v>8.0</v>
      </c>
      <c r="D51" s="18"/>
      <c r="E51" s="18"/>
      <c r="F51" s="18"/>
      <c r="G51" s="18"/>
      <c r="H51" s="18"/>
      <c r="I51" s="18"/>
      <c r="J51" s="18"/>
    </row>
    <row r="52">
      <c r="A52" s="33"/>
      <c r="B52" s="34" t="s">
        <v>46</v>
      </c>
      <c r="C52" s="35">
        <v>12.0</v>
      </c>
      <c r="D52" s="18"/>
      <c r="E52" s="18"/>
      <c r="F52" s="18"/>
      <c r="G52" s="18"/>
      <c r="H52" s="18"/>
      <c r="I52" s="18"/>
      <c r="J52" s="18"/>
    </row>
    <row r="53">
      <c r="A53" s="33"/>
      <c r="B53" s="34" t="s">
        <v>47</v>
      </c>
      <c r="C53" s="35">
        <v>4.0</v>
      </c>
      <c r="D53" s="18"/>
      <c r="E53" s="18"/>
      <c r="F53" s="18"/>
      <c r="G53" s="18"/>
      <c r="H53" s="18"/>
      <c r="I53" s="18"/>
      <c r="J53" s="18"/>
    </row>
    <row r="54">
      <c r="A54" s="18"/>
      <c r="B54" s="18"/>
      <c r="C54" s="20">
        <f>SUM(C49:C53)</f>
        <v>40</v>
      </c>
      <c r="D54" s="18"/>
      <c r="E54" s="18"/>
      <c r="F54" s="18"/>
      <c r="G54" s="18"/>
      <c r="H54" s="18"/>
      <c r="I54" s="18"/>
      <c r="J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>
      <c r="A57" s="22"/>
      <c r="B57" s="22"/>
      <c r="C57" s="22"/>
      <c r="D57" s="18"/>
      <c r="E57" s="18"/>
      <c r="F57" s="18"/>
      <c r="G57" s="18"/>
      <c r="H57" s="18"/>
      <c r="I57" s="18"/>
      <c r="J57" s="18"/>
    </row>
    <row r="58">
      <c r="A58" s="36" t="s">
        <v>48</v>
      </c>
      <c r="B58" s="37"/>
      <c r="C58" s="37"/>
      <c r="D58" s="18"/>
      <c r="E58" s="20">
        <f>(1/4)*7</f>
        <v>1.75</v>
      </c>
      <c r="F58" s="20">
        <f>G58-E58</f>
        <v>3.5</v>
      </c>
      <c r="G58" s="20">
        <f>(3/4)*7</f>
        <v>5.25</v>
      </c>
      <c r="H58" s="18"/>
      <c r="I58" s="18"/>
      <c r="J58" s="18"/>
    </row>
    <row r="59">
      <c r="A59" s="36"/>
      <c r="B59" s="37" t="s">
        <v>27</v>
      </c>
      <c r="C59" s="37" t="s">
        <v>28</v>
      </c>
      <c r="D59" s="18"/>
      <c r="E59" s="18"/>
      <c r="F59" s="18"/>
      <c r="G59" s="18"/>
      <c r="H59" s="18"/>
      <c r="I59" s="18"/>
      <c r="J59" s="18"/>
    </row>
    <row r="60">
      <c r="A60" s="36"/>
      <c r="B60" s="37" t="s">
        <v>20</v>
      </c>
      <c r="C60" s="38">
        <v>7.0</v>
      </c>
      <c r="D60" s="18"/>
      <c r="E60" s="18"/>
      <c r="F60" s="18"/>
      <c r="G60" s="18"/>
      <c r="H60" s="18"/>
      <c r="I60" s="18"/>
      <c r="J60" s="18"/>
    </row>
    <row r="61">
      <c r="A61" s="36"/>
      <c r="B61" s="37" t="s">
        <v>21</v>
      </c>
      <c r="C61" s="38">
        <v>5.0</v>
      </c>
      <c r="D61" s="18"/>
      <c r="E61" s="18"/>
      <c r="F61" s="18"/>
      <c r="G61" s="18"/>
      <c r="H61" s="18"/>
      <c r="I61" s="18"/>
      <c r="J61" s="18"/>
    </row>
    <row r="62">
      <c r="A62" s="36"/>
      <c r="B62" s="37" t="s">
        <v>22</v>
      </c>
      <c r="C62" s="38">
        <v>6.0</v>
      </c>
      <c r="D62" s="18"/>
      <c r="E62" s="18"/>
      <c r="F62" s="18"/>
      <c r="G62" s="18"/>
      <c r="H62" s="18"/>
      <c r="I62" s="18"/>
      <c r="J62" s="18"/>
    </row>
    <row r="63">
      <c r="A63" s="36"/>
      <c r="B63" s="37" t="s">
        <v>23</v>
      </c>
      <c r="C63" s="38">
        <v>12.0</v>
      </c>
      <c r="D63" s="18"/>
      <c r="E63" s="18"/>
      <c r="F63" s="18"/>
      <c r="G63" s="18"/>
      <c r="H63" s="18"/>
      <c r="I63" s="18"/>
      <c r="J63" s="18"/>
    </row>
    <row r="64">
      <c r="A64" s="36"/>
      <c r="B64" s="37" t="s">
        <v>24</v>
      </c>
      <c r="C64" s="38">
        <v>8.0</v>
      </c>
      <c r="D64" s="18"/>
      <c r="E64" s="18"/>
      <c r="F64" s="18"/>
      <c r="G64" s="18"/>
      <c r="H64" s="18"/>
      <c r="I64" s="18"/>
      <c r="J64" s="18"/>
    </row>
    <row r="65">
      <c r="A65" s="36"/>
      <c r="B65" s="37" t="s">
        <v>49</v>
      </c>
      <c r="C65" s="38">
        <v>2.0</v>
      </c>
      <c r="D65" s="18"/>
      <c r="E65" s="18"/>
      <c r="F65" s="18"/>
      <c r="G65" s="18"/>
      <c r="H65" s="18"/>
      <c r="I65" s="18"/>
      <c r="J65" s="18"/>
    </row>
    <row r="66">
      <c r="A66" s="18"/>
      <c r="B66" s="18"/>
      <c r="C66" s="20">
        <f>SUM(C60:C65)</f>
        <v>40</v>
      </c>
      <c r="D66" s="18"/>
      <c r="E66" s="18"/>
      <c r="F66" s="18"/>
      <c r="G66" s="18"/>
      <c r="H66" s="18"/>
      <c r="I66" s="18"/>
      <c r="J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>
      <c r="A69" s="39" t="s">
        <v>50</v>
      </c>
      <c r="B69" s="40"/>
      <c r="C69" s="40"/>
      <c r="D69" s="18"/>
      <c r="E69" s="18"/>
      <c r="F69" s="18"/>
      <c r="G69" s="18"/>
      <c r="H69" s="18"/>
      <c r="I69" s="18"/>
      <c r="J69" s="18"/>
    </row>
    <row r="70">
      <c r="A70" s="39"/>
      <c r="B70" s="40" t="s">
        <v>27</v>
      </c>
      <c r="C70" s="40" t="s">
        <v>51</v>
      </c>
      <c r="D70" s="18"/>
      <c r="E70" s="18">
        <f>(1/4)*4</f>
        <v>1</v>
      </c>
      <c r="F70" s="18">
        <f>2</f>
        <v>2</v>
      </c>
      <c r="G70" s="18">
        <f>(3/4)*4</f>
        <v>3</v>
      </c>
      <c r="H70" s="18"/>
      <c r="I70" s="18"/>
      <c r="J70" s="18"/>
    </row>
    <row r="71">
      <c r="A71" s="39"/>
      <c r="B71" s="41">
        <v>44621.0</v>
      </c>
      <c r="C71" s="42">
        <v>12.0</v>
      </c>
      <c r="D71" s="18"/>
      <c r="E71" s="47">
        <v>12.0</v>
      </c>
      <c r="F71" s="18">
        <f>(22+27)/2</f>
        <v>24.5</v>
      </c>
      <c r="G71" s="47">
        <v>27.0</v>
      </c>
      <c r="H71" s="18"/>
      <c r="I71" s="18"/>
      <c r="J71" s="18"/>
    </row>
    <row r="72">
      <c r="A72" s="39"/>
      <c r="B72" s="41">
        <v>44684.0</v>
      </c>
      <c r="C72" s="42">
        <v>22.0</v>
      </c>
    </row>
    <row r="73">
      <c r="A73" s="39"/>
      <c r="B73" s="41">
        <v>44747.0</v>
      </c>
      <c r="C73" s="42">
        <v>27.0</v>
      </c>
    </row>
    <row r="74">
      <c r="A74" s="39"/>
      <c r="B74" s="41">
        <v>44811.0</v>
      </c>
      <c r="C74" s="42">
        <v>19.0</v>
      </c>
    </row>
    <row r="75">
      <c r="A75" s="39"/>
      <c r="B75" s="40" t="s">
        <v>52</v>
      </c>
      <c r="C75" s="42">
        <f>SUM(C71:C74)</f>
        <v>80</v>
      </c>
    </row>
    <row r="76">
      <c r="A76" s="39"/>
      <c r="B76" s="40" t="s">
        <v>17</v>
      </c>
      <c r="C76" s="42">
        <f>E75/C75</f>
        <v>0</v>
      </c>
    </row>
    <row r="77">
      <c r="A77" s="18"/>
      <c r="B77" s="18"/>
      <c r="C77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>
      <c r="A3" s="18"/>
      <c r="B3" s="18"/>
      <c r="C3" s="18"/>
      <c r="D3" s="22"/>
      <c r="E3" s="22"/>
      <c r="F3" s="22"/>
      <c r="G3" s="22"/>
      <c r="H3" s="22"/>
      <c r="I3" s="18"/>
      <c r="J3" s="18"/>
      <c r="K3" s="18"/>
    </row>
    <row r="4">
      <c r="A4" s="18" t="s">
        <v>53</v>
      </c>
      <c r="B4" s="19" t="s">
        <v>0</v>
      </c>
      <c r="C4" s="72" t="s">
        <v>1</v>
      </c>
      <c r="D4" s="73" t="s">
        <v>109</v>
      </c>
      <c r="E4" s="73" t="s">
        <v>110</v>
      </c>
      <c r="F4" s="73" t="s">
        <v>111</v>
      </c>
      <c r="G4" s="73" t="s">
        <v>112</v>
      </c>
      <c r="H4" s="74" t="s">
        <v>113</v>
      </c>
      <c r="I4" s="18"/>
      <c r="J4" s="18"/>
      <c r="K4" s="18"/>
    </row>
    <row r="5">
      <c r="A5" s="18"/>
      <c r="B5" s="19" t="s">
        <v>5</v>
      </c>
      <c r="C5" s="21">
        <v>5.0</v>
      </c>
      <c r="D5" s="20">
        <v>4.0</v>
      </c>
      <c r="E5" s="20">
        <f>(D5*D5)</f>
        <v>16</v>
      </c>
      <c r="F5" s="20">
        <f>E15/C15</f>
        <v>67.06860707</v>
      </c>
      <c r="G5" s="20">
        <f>(D15/C15)^2</f>
        <v>1.03777214</v>
      </c>
      <c r="H5" s="20">
        <f>(F5-G5)*10</f>
        <v>660.3083493</v>
      </c>
      <c r="I5" s="18"/>
      <c r="J5" s="18"/>
      <c r="K5" s="18"/>
    </row>
    <row r="6">
      <c r="A6" s="18"/>
      <c r="B6" s="19" t="s">
        <v>6</v>
      </c>
      <c r="C6" s="21">
        <v>9.0</v>
      </c>
      <c r="D6" s="20">
        <v>14.0</v>
      </c>
      <c r="E6" s="20">
        <f t="shared" ref="E6:E14" si="1">D6^2</f>
        <v>196</v>
      </c>
      <c r="F6" s="18"/>
      <c r="G6" s="18"/>
      <c r="H6" s="18"/>
      <c r="I6" s="18"/>
      <c r="J6" s="18"/>
      <c r="K6" s="18"/>
    </row>
    <row r="7">
      <c r="A7" s="18"/>
      <c r="B7" s="19" t="s">
        <v>7</v>
      </c>
      <c r="C7" s="21">
        <v>17.0</v>
      </c>
      <c r="D7" s="20">
        <v>24.0</v>
      </c>
      <c r="E7" s="20">
        <f t="shared" si="1"/>
        <v>576</v>
      </c>
      <c r="F7" s="18"/>
      <c r="G7" s="18"/>
      <c r="H7" s="18"/>
      <c r="I7" s="20">
        <f>SQRT(H5)</f>
        <v>25.6964657</v>
      </c>
      <c r="J7" s="18"/>
      <c r="K7" s="18"/>
    </row>
    <row r="8">
      <c r="A8" s="18"/>
      <c r="B8" s="19" t="s">
        <v>8</v>
      </c>
      <c r="C8" s="21">
        <v>29.0</v>
      </c>
      <c r="D8" s="20">
        <v>34.0</v>
      </c>
      <c r="E8" s="20">
        <f t="shared" si="1"/>
        <v>1156</v>
      </c>
      <c r="F8" s="18"/>
      <c r="G8" s="18"/>
      <c r="H8" s="18"/>
      <c r="I8" s="18"/>
      <c r="J8" s="18"/>
      <c r="K8" s="18"/>
    </row>
    <row r="9">
      <c r="A9" s="18"/>
      <c r="B9" s="19" t="s">
        <v>9</v>
      </c>
      <c r="C9" s="21">
        <v>45.0</v>
      </c>
      <c r="D9" s="20">
        <v>44.0</v>
      </c>
      <c r="E9" s="20">
        <f t="shared" si="1"/>
        <v>1936</v>
      </c>
      <c r="F9" s="18"/>
      <c r="G9" s="18"/>
      <c r="H9" s="18"/>
      <c r="I9" s="18"/>
      <c r="J9" s="18"/>
      <c r="K9" s="18"/>
    </row>
    <row r="10">
      <c r="A10" s="18"/>
      <c r="B10" s="19" t="s">
        <v>10</v>
      </c>
      <c r="C10" s="21">
        <v>60.0</v>
      </c>
      <c r="D10" s="20">
        <v>54.0</v>
      </c>
      <c r="E10" s="20">
        <f t="shared" si="1"/>
        <v>2916</v>
      </c>
      <c r="F10" s="18"/>
      <c r="G10" s="18"/>
      <c r="H10" s="18"/>
      <c r="I10" s="18"/>
      <c r="J10" s="18"/>
      <c r="K10" s="18"/>
    </row>
    <row r="11">
      <c r="A11" s="18"/>
      <c r="B11" s="19" t="s">
        <v>11</v>
      </c>
      <c r="C11" s="21">
        <v>70.0</v>
      </c>
      <c r="D11" s="20">
        <v>64.0</v>
      </c>
      <c r="E11" s="20">
        <f t="shared" si="1"/>
        <v>4096</v>
      </c>
      <c r="F11" s="18"/>
      <c r="G11" s="18"/>
      <c r="H11" s="18"/>
      <c r="I11" s="18"/>
      <c r="J11" s="18"/>
      <c r="K11" s="18"/>
    </row>
    <row r="12">
      <c r="A12" s="18"/>
      <c r="B12" s="19" t="s">
        <v>12</v>
      </c>
      <c r="C12" s="21">
        <v>78.0</v>
      </c>
      <c r="D12" s="20">
        <v>74.0</v>
      </c>
      <c r="E12" s="20">
        <f t="shared" si="1"/>
        <v>5476</v>
      </c>
      <c r="F12" s="18"/>
      <c r="G12" s="18"/>
      <c r="H12" s="18"/>
      <c r="I12" s="18"/>
      <c r="J12" s="18"/>
      <c r="K12" s="18"/>
    </row>
    <row r="13">
      <c r="A13" s="18"/>
      <c r="B13" s="19" t="s">
        <v>13</v>
      </c>
      <c r="C13" s="21">
        <v>83.0</v>
      </c>
      <c r="D13" s="20">
        <v>84.0</v>
      </c>
      <c r="E13" s="20">
        <f t="shared" si="1"/>
        <v>7056</v>
      </c>
      <c r="F13" s="18"/>
      <c r="G13" s="18"/>
      <c r="H13" s="18"/>
      <c r="I13" s="18"/>
      <c r="J13" s="18"/>
      <c r="K13" s="18"/>
    </row>
    <row r="14">
      <c r="A14" s="18"/>
      <c r="B14" s="19" t="s">
        <v>14</v>
      </c>
      <c r="C14" s="21">
        <v>85.0</v>
      </c>
      <c r="D14" s="20">
        <v>94.0</v>
      </c>
      <c r="E14" s="20">
        <f t="shared" si="1"/>
        <v>8836</v>
      </c>
      <c r="F14" s="18"/>
      <c r="G14" s="18"/>
      <c r="H14" s="18"/>
      <c r="I14" s="18"/>
      <c r="J14" s="18"/>
      <c r="K14" s="18"/>
    </row>
    <row r="15">
      <c r="A15" s="18"/>
      <c r="B15" s="18" t="s">
        <v>15</v>
      </c>
      <c r="C15" s="20">
        <f t="shared" ref="C15:E15" si="2">SUM(C5:C14)</f>
        <v>481</v>
      </c>
      <c r="D15" s="20">
        <f t="shared" si="2"/>
        <v>490</v>
      </c>
      <c r="E15" s="20">
        <f t="shared" si="2"/>
        <v>32260</v>
      </c>
      <c r="F15" s="18"/>
      <c r="G15" s="18"/>
      <c r="H15" s="18"/>
      <c r="I15" s="18"/>
      <c r="J15" s="18"/>
      <c r="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22"/>
      <c r="B17" s="22"/>
      <c r="C17" s="22"/>
      <c r="D17" s="18"/>
      <c r="E17" s="18"/>
      <c r="F17" s="18"/>
      <c r="G17" s="18"/>
      <c r="H17" s="18"/>
      <c r="I17" s="18"/>
      <c r="J17" s="18"/>
      <c r="K17" s="18"/>
    </row>
    <row r="18">
      <c r="A18" s="23" t="s">
        <v>18</v>
      </c>
      <c r="B18" s="24" t="s">
        <v>0</v>
      </c>
      <c r="C18" s="24" t="s">
        <v>19</v>
      </c>
      <c r="D18" s="20"/>
      <c r="E18" s="18"/>
      <c r="F18" s="18"/>
      <c r="G18" s="18"/>
      <c r="H18" s="18"/>
      <c r="I18" s="18"/>
      <c r="J18" s="18"/>
      <c r="K18" s="18"/>
    </row>
    <row r="19">
      <c r="A19" s="23"/>
      <c r="B19" s="24" t="s">
        <v>20</v>
      </c>
      <c r="C19" s="25">
        <v>20.0</v>
      </c>
      <c r="D19" s="20">
        <v>5.0</v>
      </c>
      <c r="E19" s="20">
        <f t="shared" ref="E19:E23" si="3">D19^2</f>
        <v>25</v>
      </c>
      <c r="F19" s="20">
        <f>E24/C24</f>
        <v>29.46428571</v>
      </c>
      <c r="G19" s="20">
        <f>(D24/C24)^2</f>
        <v>0.7971938776</v>
      </c>
      <c r="H19" s="20">
        <f>(F19-G19)*10</f>
        <v>286.6709184</v>
      </c>
      <c r="I19" s="18"/>
      <c r="J19" s="18"/>
      <c r="K19" s="18"/>
    </row>
    <row r="20">
      <c r="A20" s="23"/>
      <c r="B20" s="24" t="s">
        <v>21</v>
      </c>
      <c r="C20" s="25">
        <v>24.0</v>
      </c>
      <c r="D20" s="20">
        <v>15.0</v>
      </c>
      <c r="E20" s="20">
        <f t="shared" si="3"/>
        <v>225</v>
      </c>
      <c r="F20" s="18"/>
      <c r="G20" s="18"/>
      <c r="H20" s="18"/>
      <c r="I20" s="20">
        <f>SQRT(H19)</f>
        <v>16.93135902</v>
      </c>
      <c r="J20" s="18"/>
      <c r="K20" s="18"/>
    </row>
    <row r="21">
      <c r="A21" s="23"/>
      <c r="B21" s="24" t="s">
        <v>22</v>
      </c>
      <c r="C21" s="25">
        <v>40.0</v>
      </c>
      <c r="D21" s="20">
        <v>25.0</v>
      </c>
      <c r="E21" s="20">
        <f t="shared" si="3"/>
        <v>625</v>
      </c>
      <c r="F21" s="18"/>
      <c r="G21" s="18"/>
      <c r="H21" s="18"/>
      <c r="I21" s="18"/>
      <c r="J21" s="18"/>
      <c r="K21" s="18"/>
    </row>
    <row r="22">
      <c r="A22" s="23"/>
      <c r="B22" s="24" t="s">
        <v>23</v>
      </c>
      <c r="C22" s="25">
        <v>36.0</v>
      </c>
      <c r="D22" s="20">
        <v>35.0</v>
      </c>
      <c r="E22" s="20">
        <f t="shared" si="3"/>
        <v>1225</v>
      </c>
      <c r="F22" s="18"/>
      <c r="G22" s="18"/>
      <c r="H22" s="18"/>
      <c r="I22" s="18"/>
      <c r="J22" s="18"/>
      <c r="K22" s="18"/>
    </row>
    <row r="23">
      <c r="A23" s="23"/>
      <c r="B23" s="24" t="s">
        <v>24</v>
      </c>
      <c r="C23" s="25">
        <v>20.0</v>
      </c>
      <c r="D23" s="20">
        <v>45.0</v>
      </c>
      <c r="E23" s="20">
        <f t="shared" si="3"/>
        <v>2025</v>
      </c>
      <c r="F23" s="18"/>
      <c r="G23" s="18"/>
      <c r="H23" s="18"/>
      <c r="I23" s="18"/>
      <c r="J23" s="18"/>
      <c r="K23" s="18"/>
    </row>
    <row r="24">
      <c r="A24" s="18"/>
      <c r="B24" s="18"/>
      <c r="C24" s="20">
        <f t="shared" ref="C24:E24" si="4">SUM(C19:C23)</f>
        <v>140</v>
      </c>
      <c r="D24" s="20">
        <f t="shared" si="4"/>
        <v>125</v>
      </c>
      <c r="E24" s="20">
        <f t="shared" si="4"/>
        <v>4125</v>
      </c>
      <c r="F24" s="18"/>
      <c r="G24" s="18"/>
      <c r="H24" s="18"/>
      <c r="I24" s="18"/>
      <c r="J24" s="18"/>
      <c r="K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>
      <c r="A28" s="18" t="s">
        <v>26</v>
      </c>
      <c r="B28" s="22"/>
      <c r="C28" s="22"/>
      <c r="D28" s="18"/>
      <c r="E28" s="18"/>
      <c r="F28" s="18"/>
      <c r="G28" s="18"/>
      <c r="H28" s="18"/>
      <c r="I28" s="18"/>
      <c r="J28" s="18"/>
      <c r="K28" s="18"/>
    </row>
    <row r="29">
      <c r="A29" s="26"/>
      <c r="B29" s="27" t="s">
        <v>27</v>
      </c>
      <c r="C29" s="27" t="s">
        <v>28</v>
      </c>
      <c r="D29" s="75" t="s">
        <v>109</v>
      </c>
      <c r="E29" s="75" t="s">
        <v>114</v>
      </c>
      <c r="F29" s="75" t="s">
        <v>115</v>
      </c>
      <c r="G29" s="75" t="s">
        <v>116</v>
      </c>
      <c r="H29" s="75"/>
      <c r="I29" s="18"/>
      <c r="J29" s="18"/>
      <c r="K29" s="18"/>
    </row>
    <row r="30">
      <c r="A30" s="26"/>
      <c r="B30" s="27" t="s">
        <v>29</v>
      </c>
      <c r="C30" s="30">
        <v>8.0</v>
      </c>
      <c r="D30" s="20">
        <v>87.0</v>
      </c>
      <c r="E30" s="20">
        <f t="shared" ref="E30:E35" si="5">D30^2</f>
        <v>7569</v>
      </c>
      <c r="F30" s="20">
        <f>E36/C36</f>
        <v>775.1125</v>
      </c>
      <c r="G30" s="20">
        <f>D36/C36</f>
        <v>7.5875</v>
      </c>
      <c r="H30" s="20">
        <f>(F30-G31)*6</f>
        <v>4305.254063</v>
      </c>
      <c r="I30" s="18"/>
      <c r="J30" s="18"/>
      <c r="K30" s="18"/>
    </row>
    <row r="31">
      <c r="A31" s="26"/>
      <c r="B31" s="27" t="s">
        <v>30</v>
      </c>
      <c r="C31" s="30">
        <v>10.0</v>
      </c>
      <c r="D31" s="20">
        <v>92.0</v>
      </c>
      <c r="E31" s="20">
        <f t="shared" si="5"/>
        <v>8464</v>
      </c>
      <c r="F31" s="18"/>
      <c r="G31" s="20">
        <f>G30^2</f>
        <v>57.57015625</v>
      </c>
      <c r="H31" s="18"/>
      <c r="I31" s="20">
        <f>SQRT(H30)</f>
        <v>65.61443486</v>
      </c>
      <c r="J31" s="18"/>
      <c r="K31" s="18"/>
    </row>
    <row r="32">
      <c r="A32" s="26"/>
      <c r="B32" s="27" t="s">
        <v>31</v>
      </c>
      <c r="C32" s="30">
        <v>16.0</v>
      </c>
      <c r="D32" s="20">
        <v>98.0</v>
      </c>
      <c r="E32" s="20">
        <f t="shared" si="5"/>
        <v>9604</v>
      </c>
      <c r="F32" s="18"/>
      <c r="G32" s="18"/>
      <c r="H32" s="18"/>
      <c r="I32" s="18"/>
      <c r="J32" s="18"/>
      <c r="K32" s="18"/>
    </row>
    <row r="33">
      <c r="A33" s="26"/>
      <c r="B33" s="27" t="s">
        <v>32</v>
      </c>
      <c r="C33" s="30">
        <v>23.0</v>
      </c>
      <c r="D33" s="20">
        <v>104.0</v>
      </c>
      <c r="E33" s="20">
        <f t="shared" si="5"/>
        <v>10816</v>
      </c>
      <c r="F33" s="18"/>
      <c r="G33" s="18"/>
      <c r="H33" s="18"/>
      <c r="I33" s="18"/>
      <c r="J33" s="18"/>
      <c r="K33" s="18"/>
    </row>
    <row r="34">
      <c r="A34" s="26"/>
      <c r="B34" s="27" t="s">
        <v>33</v>
      </c>
      <c r="C34" s="30">
        <v>12.0</v>
      </c>
      <c r="D34" s="20">
        <v>110.0</v>
      </c>
      <c r="E34" s="20">
        <f t="shared" si="5"/>
        <v>12100</v>
      </c>
      <c r="F34" s="18"/>
      <c r="G34" s="18"/>
      <c r="H34" s="18"/>
      <c r="I34" s="18"/>
      <c r="J34" s="18"/>
      <c r="K34" s="18"/>
    </row>
    <row r="35">
      <c r="A35" s="26"/>
      <c r="B35" s="27" t="s">
        <v>34</v>
      </c>
      <c r="C35" s="30">
        <v>11.0</v>
      </c>
      <c r="D35" s="20">
        <v>116.0</v>
      </c>
      <c r="E35" s="20">
        <f t="shared" si="5"/>
        <v>13456</v>
      </c>
      <c r="F35" s="18"/>
      <c r="G35" s="18"/>
      <c r="H35" s="18"/>
      <c r="I35" s="18"/>
      <c r="J35" s="18"/>
      <c r="K35" s="18"/>
    </row>
    <row r="36">
      <c r="A36" s="18"/>
      <c r="B36" s="18"/>
      <c r="C36" s="20">
        <f t="shared" ref="C36:E36" si="6">SUM(C30:C35)</f>
        <v>80</v>
      </c>
      <c r="D36" s="20">
        <f t="shared" si="6"/>
        <v>607</v>
      </c>
      <c r="E36" s="20">
        <f t="shared" si="6"/>
        <v>62009</v>
      </c>
      <c r="F36" s="18"/>
      <c r="G36" s="18"/>
      <c r="H36" s="18"/>
      <c r="I36" s="18"/>
      <c r="J36" s="18"/>
      <c r="K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>
      <c r="A39" s="22"/>
      <c r="B39" s="22"/>
      <c r="C39" s="22"/>
      <c r="D39" s="18"/>
      <c r="E39" s="18"/>
      <c r="F39" s="18"/>
      <c r="G39" s="18"/>
      <c r="H39" s="18"/>
      <c r="I39" s="18"/>
      <c r="J39" s="18"/>
      <c r="K39" s="18"/>
    </row>
    <row r="40">
      <c r="A40" s="31" t="s">
        <v>35</v>
      </c>
      <c r="B40" s="29"/>
      <c r="C40" s="29"/>
      <c r="D40" s="18"/>
      <c r="E40" s="18"/>
      <c r="F40" s="18"/>
      <c r="G40" s="18"/>
      <c r="H40" s="18"/>
      <c r="I40" s="18"/>
      <c r="J40" s="18"/>
      <c r="K40" s="18"/>
    </row>
    <row r="41">
      <c r="A41" s="31"/>
      <c r="B41" s="29" t="s">
        <v>27</v>
      </c>
      <c r="C41" s="29" t="s">
        <v>36</v>
      </c>
      <c r="D41" s="18" t="s">
        <v>109</v>
      </c>
      <c r="E41" s="18" t="s">
        <v>114</v>
      </c>
      <c r="F41" s="18"/>
      <c r="G41" s="18"/>
      <c r="H41" s="18"/>
      <c r="I41" s="18"/>
      <c r="J41" s="18"/>
      <c r="K41" s="18"/>
    </row>
    <row r="42">
      <c r="A42" s="31"/>
      <c r="B42" s="29" t="s">
        <v>37</v>
      </c>
      <c r="C42" s="32">
        <v>6.0</v>
      </c>
      <c r="D42" s="20">
        <v>49.0</v>
      </c>
      <c r="E42" s="20">
        <f t="shared" ref="E42:E46" si="7">D42^2</f>
        <v>2401</v>
      </c>
      <c r="F42" s="20">
        <f>E47/C47</f>
        <v>8200.1</v>
      </c>
      <c r="G42" s="20">
        <f>(D47/C47)^2</f>
        <v>620.01</v>
      </c>
      <c r="H42" s="20">
        <f>(F42-G42)*100</f>
        <v>758009</v>
      </c>
      <c r="I42" s="18"/>
      <c r="J42" s="18"/>
      <c r="K42" s="18"/>
    </row>
    <row r="43">
      <c r="A43" s="31"/>
      <c r="B43" s="29" t="s">
        <v>38</v>
      </c>
      <c r="C43" s="32">
        <v>9.0</v>
      </c>
      <c r="D43" s="20">
        <v>149.0</v>
      </c>
      <c r="E43" s="20">
        <f t="shared" si="7"/>
        <v>22201</v>
      </c>
      <c r="F43" s="18"/>
      <c r="G43" s="18"/>
      <c r="H43" s="18"/>
      <c r="I43" s="18"/>
      <c r="J43" s="18"/>
      <c r="K43" s="18"/>
    </row>
    <row r="44">
      <c r="A44" s="31"/>
      <c r="B44" s="29" t="s">
        <v>39</v>
      </c>
      <c r="C44" s="32">
        <v>15.0</v>
      </c>
      <c r="D44" s="20">
        <v>249.0</v>
      </c>
      <c r="E44" s="20">
        <f t="shared" si="7"/>
        <v>62001</v>
      </c>
      <c r="F44" s="18"/>
      <c r="G44" s="18"/>
      <c r="H44" s="18" t="s">
        <v>117</v>
      </c>
      <c r="I44" s="20">
        <f>SQRT(H42)</f>
        <v>870.637123</v>
      </c>
      <c r="J44" s="18"/>
      <c r="K44" s="18"/>
    </row>
    <row r="45">
      <c r="A45" s="31"/>
      <c r="B45" s="29" t="s">
        <v>40</v>
      </c>
      <c r="C45" s="32">
        <v>12.0</v>
      </c>
      <c r="D45" s="20">
        <v>349.0</v>
      </c>
      <c r="E45" s="20">
        <f t="shared" si="7"/>
        <v>121801</v>
      </c>
      <c r="F45" s="18"/>
      <c r="G45" s="18"/>
      <c r="H45" s="18"/>
      <c r="I45" s="18"/>
      <c r="J45" s="18"/>
      <c r="K45" s="18"/>
    </row>
    <row r="46">
      <c r="A46" s="31"/>
      <c r="B46" s="29" t="s">
        <v>41</v>
      </c>
      <c r="C46" s="32">
        <v>8.0</v>
      </c>
      <c r="D46" s="20">
        <v>449.0</v>
      </c>
      <c r="E46" s="20">
        <f t="shared" si="7"/>
        <v>201601</v>
      </c>
      <c r="F46" s="18"/>
      <c r="G46" s="18"/>
      <c r="H46" s="18"/>
      <c r="I46" s="18"/>
      <c r="J46" s="18"/>
      <c r="K46" s="18"/>
    </row>
    <row r="47">
      <c r="A47" s="18"/>
      <c r="B47" s="18"/>
      <c r="C47" s="20">
        <f t="shared" ref="C47:E47" si="8">SUM(C42:C46)</f>
        <v>50</v>
      </c>
      <c r="D47" s="20">
        <f t="shared" si="8"/>
        <v>1245</v>
      </c>
      <c r="E47" s="20">
        <f t="shared" si="8"/>
        <v>410005</v>
      </c>
      <c r="F47" s="18"/>
      <c r="G47" s="18"/>
      <c r="H47" s="18"/>
      <c r="I47" s="18"/>
      <c r="J47" s="18"/>
      <c r="K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>
      <c r="A50" s="22"/>
      <c r="B50" s="22"/>
      <c r="C50" s="22"/>
      <c r="D50" s="18"/>
      <c r="E50" s="18"/>
      <c r="F50" s="18"/>
      <c r="G50" s="18"/>
      <c r="H50" s="18"/>
      <c r="I50" s="18"/>
      <c r="J50" s="18"/>
      <c r="K50" s="18"/>
    </row>
    <row r="51">
      <c r="A51" s="33" t="s">
        <v>42</v>
      </c>
      <c r="B51" s="34"/>
      <c r="C51" s="34"/>
      <c r="D51" s="18"/>
      <c r="E51" s="18"/>
      <c r="F51" s="18"/>
      <c r="G51" s="18"/>
      <c r="H51" s="18"/>
      <c r="I51" s="18"/>
      <c r="J51" s="18"/>
      <c r="K51" s="18"/>
    </row>
    <row r="52">
      <c r="A52" s="33"/>
      <c r="B52" s="34" t="s">
        <v>27</v>
      </c>
      <c r="C52" s="34" t="s">
        <v>28</v>
      </c>
      <c r="D52" s="18"/>
      <c r="E52" s="18"/>
      <c r="F52" s="18"/>
      <c r="G52" s="18"/>
      <c r="H52" s="18"/>
      <c r="I52" s="18"/>
      <c r="J52" s="18"/>
      <c r="K52" s="18"/>
    </row>
    <row r="53">
      <c r="A53" s="33"/>
      <c r="B53" s="34" t="s">
        <v>43</v>
      </c>
      <c r="C53" s="35">
        <v>6.0</v>
      </c>
      <c r="D53" s="18"/>
      <c r="E53" s="20">
        <v>29.0</v>
      </c>
      <c r="F53" s="20">
        <f t="shared" ref="F53:F57" si="9">E53^2</f>
        <v>841</v>
      </c>
      <c r="G53" s="20">
        <f>F58/C58</f>
        <v>325.125</v>
      </c>
      <c r="H53" s="20">
        <f>(E58/C58)^2</f>
        <v>37.515625</v>
      </c>
      <c r="I53" s="20">
        <f>(G53-H53)*10</f>
        <v>2876.09375</v>
      </c>
      <c r="J53" s="20">
        <f>SQRT(I53)</f>
        <v>53.62922478</v>
      </c>
      <c r="K53" s="18"/>
    </row>
    <row r="54">
      <c r="A54" s="33"/>
      <c r="B54" s="34" t="s">
        <v>44</v>
      </c>
      <c r="C54" s="35">
        <v>10.0</v>
      </c>
      <c r="D54" s="18"/>
      <c r="E54" s="20">
        <v>39.0</v>
      </c>
      <c r="F54" s="20">
        <f t="shared" si="9"/>
        <v>1521</v>
      </c>
      <c r="G54" s="18"/>
      <c r="H54" s="18"/>
      <c r="I54" s="18"/>
      <c r="J54" s="18"/>
      <c r="K54" s="18"/>
    </row>
    <row r="55">
      <c r="A55" s="33"/>
      <c r="B55" s="34" t="s">
        <v>45</v>
      </c>
      <c r="C55" s="35">
        <v>8.0</v>
      </c>
      <c r="D55" s="18"/>
      <c r="E55" s="20">
        <v>49.0</v>
      </c>
      <c r="F55" s="20">
        <f t="shared" si="9"/>
        <v>2401</v>
      </c>
      <c r="G55" s="18"/>
      <c r="H55" s="18"/>
      <c r="I55" s="18"/>
      <c r="J55" s="18"/>
      <c r="K55" s="18"/>
    </row>
    <row r="56">
      <c r="A56" s="33"/>
      <c r="B56" s="34" t="s">
        <v>46</v>
      </c>
      <c r="C56" s="35">
        <v>12.0</v>
      </c>
      <c r="D56" s="18"/>
      <c r="E56" s="20">
        <v>59.0</v>
      </c>
      <c r="F56" s="20">
        <f t="shared" si="9"/>
        <v>3481</v>
      </c>
      <c r="G56" s="18"/>
      <c r="H56" s="18"/>
      <c r="I56" s="18"/>
      <c r="J56" s="18"/>
      <c r="K56" s="18"/>
    </row>
    <row r="57">
      <c r="A57" s="33"/>
      <c r="B57" s="34" t="s">
        <v>47</v>
      </c>
      <c r="C57" s="35">
        <v>4.0</v>
      </c>
      <c r="D57" s="18"/>
      <c r="E57" s="20">
        <v>69.0</v>
      </c>
      <c r="F57" s="20">
        <f t="shared" si="9"/>
        <v>4761</v>
      </c>
      <c r="G57" s="18"/>
      <c r="H57" s="18"/>
      <c r="I57" s="18"/>
      <c r="J57" s="18"/>
      <c r="K57" s="18"/>
    </row>
    <row r="58">
      <c r="A58" s="18"/>
      <c r="B58" s="18"/>
      <c r="C58" s="20">
        <f>SUM(C53:C57)</f>
        <v>40</v>
      </c>
      <c r="D58" s="18"/>
      <c r="E58" s="20">
        <f t="shared" ref="E58:F58" si="10">SUM(E53:E57)</f>
        <v>245</v>
      </c>
      <c r="F58" s="20">
        <f t="shared" si="10"/>
        <v>13005</v>
      </c>
      <c r="G58" s="18"/>
      <c r="H58" s="18"/>
      <c r="I58" s="18"/>
      <c r="J58" s="18"/>
      <c r="K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>
      <c r="A63" s="22"/>
      <c r="B63" s="22"/>
      <c r="C63" s="22"/>
      <c r="D63" s="18"/>
      <c r="E63" s="18"/>
      <c r="F63" s="18"/>
      <c r="G63" s="18"/>
      <c r="H63" s="18"/>
      <c r="I63" s="18"/>
      <c r="J63" s="18"/>
      <c r="K63" s="18"/>
    </row>
    <row r="64">
      <c r="A64" s="36" t="s">
        <v>48</v>
      </c>
      <c r="B64" s="37"/>
      <c r="C64" s="37"/>
      <c r="D64" s="18"/>
      <c r="E64" s="18"/>
      <c r="F64" s="18"/>
      <c r="G64" s="18"/>
      <c r="H64" s="18"/>
      <c r="I64" s="18"/>
      <c r="J64" s="18"/>
      <c r="K64" s="18"/>
    </row>
    <row r="65">
      <c r="A65" s="36"/>
      <c r="B65" s="37" t="s">
        <v>27</v>
      </c>
      <c r="C65" s="37" t="s">
        <v>28</v>
      </c>
      <c r="D65" s="18"/>
      <c r="E65" s="18"/>
      <c r="F65" s="18"/>
      <c r="G65" s="18"/>
      <c r="H65" s="18"/>
      <c r="I65" s="18"/>
      <c r="J65" s="18"/>
      <c r="K65" s="18"/>
    </row>
    <row r="66">
      <c r="A66" s="36"/>
      <c r="B66" s="37" t="s">
        <v>20</v>
      </c>
      <c r="C66" s="38">
        <v>7.0</v>
      </c>
      <c r="D66" s="20">
        <v>4.0</v>
      </c>
      <c r="E66" s="20">
        <f t="shared" ref="E66:E71" si="11">D66^2</f>
        <v>16</v>
      </c>
      <c r="F66" s="20">
        <f>E72/C72</f>
        <v>169.9</v>
      </c>
      <c r="G66" s="20">
        <f>(D72/C72)^2</f>
        <v>18.9225</v>
      </c>
      <c r="H66" s="20">
        <f>(F66-G66)*10</f>
        <v>1509.775</v>
      </c>
      <c r="I66" s="20">
        <f>SQRT(H66)</f>
        <v>38.85582324</v>
      </c>
      <c r="J66" s="18"/>
      <c r="K66" s="18"/>
    </row>
    <row r="67">
      <c r="A67" s="36"/>
      <c r="B67" s="37" t="s">
        <v>21</v>
      </c>
      <c r="C67" s="38">
        <v>5.0</v>
      </c>
      <c r="D67" s="20">
        <v>14.0</v>
      </c>
      <c r="E67" s="20">
        <f t="shared" si="11"/>
        <v>196</v>
      </c>
      <c r="F67" s="18"/>
      <c r="G67" s="18"/>
      <c r="H67" s="18"/>
      <c r="I67" s="18"/>
      <c r="J67" s="18"/>
      <c r="K67" s="18"/>
    </row>
    <row r="68">
      <c r="A68" s="36"/>
      <c r="B68" s="37" t="s">
        <v>22</v>
      </c>
      <c r="C68" s="38">
        <v>6.0</v>
      </c>
      <c r="D68" s="20">
        <v>24.0</v>
      </c>
      <c r="E68" s="20">
        <f t="shared" si="11"/>
        <v>576</v>
      </c>
      <c r="F68" s="18"/>
      <c r="G68" s="18"/>
      <c r="H68" s="18"/>
      <c r="I68" s="18"/>
      <c r="J68" s="18"/>
      <c r="K68" s="18"/>
    </row>
    <row r="69">
      <c r="A69" s="36"/>
      <c r="B69" s="37" t="s">
        <v>23</v>
      </c>
      <c r="C69" s="38">
        <v>12.0</v>
      </c>
      <c r="D69" s="20">
        <v>34.0</v>
      </c>
      <c r="E69" s="20">
        <f t="shared" si="11"/>
        <v>1156</v>
      </c>
      <c r="F69" s="18"/>
      <c r="G69" s="18"/>
      <c r="H69" s="18"/>
      <c r="I69" s="18"/>
      <c r="J69" s="18"/>
      <c r="K69" s="18"/>
    </row>
    <row r="70">
      <c r="A70" s="36"/>
      <c r="B70" s="37" t="s">
        <v>24</v>
      </c>
      <c r="C70" s="38">
        <v>8.0</v>
      </c>
      <c r="D70" s="20">
        <v>44.0</v>
      </c>
      <c r="E70" s="20">
        <f t="shared" si="11"/>
        <v>1936</v>
      </c>
      <c r="F70" s="18"/>
      <c r="G70" s="18"/>
      <c r="H70" s="18"/>
      <c r="I70" s="18"/>
      <c r="J70" s="18"/>
      <c r="K70" s="18"/>
    </row>
    <row r="71">
      <c r="A71" s="36"/>
      <c r="B71" s="37" t="s">
        <v>49</v>
      </c>
      <c r="C71" s="38">
        <v>2.0</v>
      </c>
      <c r="D71" s="20">
        <v>54.0</v>
      </c>
      <c r="E71" s="20">
        <f t="shared" si="11"/>
        <v>2916</v>
      </c>
      <c r="F71" s="18"/>
      <c r="G71" s="18"/>
      <c r="H71" s="18"/>
      <c r="I71" s="18"/>
      <c r="J71" s="18"/>
      <c r="K71" s="18"/>
    </row>
    <row r="72">
      <c r="A72" s="18"/>
      <c r="B72" s="18"/>
      <c r="C72" s="20">
        <f t="shared" ref="C72:E72" si="12">SUM(C66:C71)</f>
        <v>40</v>
      </c>
      <c r="D72" s="20">
        <f t="shared" si="12"/>
        <v>174</v>
      </c>
      <c r="E72" s="20">
        <f t="shared" si="12"/>
        <v>6796</v>
      </c>
      <c r="F72" s="18"/>
      <c r="G72" s="18"/>
      <c r="H72" s="18"/>
      <c r="I72" s="18"/>
      <c r="J72" s="18"/>
      <c r="K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6">
      <c r="A76" s="39" t="s">
        <v>50</v>
      </c>
      <c r="B76" s="40"/>
      <c r="C76" s="40"/>
      <c r="D76" s="18"/>
    </row>
    <row r="77">
      <c r="A77" s="39"/>
      <c r="B77" s="40" t="s">
        <v>27</v>
      </c>
      <c r="C77" s="40" t="s">
        <v>51</v>
      </c>
      <c r="D77" s="18"/>
    </row>
    <row r="78">
      <c r="A78" s="39"/>
      <c r="B78" s="41">
        <v>44621.0</v>
      </c>
      <c r="C78" s="42">
        <v>12.0</v>
      </c>
      <c r="D78" s="47">
        <v>12.0</v>
      </c>
    </row>
    <row r="79">
      <c r="A79" s="39"/>
      <c r="B79" s="41">
        <v>44684.0</v>
      </c>
      <c r="C79" s="42">
        <v>22.0</v>
      </c>
      <c r="D79" s="3">
        <v>34.0</v>
      </c>
    </row>
    <row r="80">
      <c r="A80" s="39"/>
      <c r="B80" s="41">
        <v>44747.0</v>
      </c>
      <c r="C80" s="42">
        <v>27.0</v>
      </c>
      <c r="D80" s="3">
        <v>61.0</v>
      </c>
    </row>
    <row r="81">
      <c r="A81" s="39"/>
      <c r="B81" s="41">
        <v>44811.0</v>
      </c>
      <c r="C81" s="42">
        <v>19.0</v>
      </c>
      <c r="D81" s="3">
        <v>80.0</v>
      </c>
    </row>
    <row r="82">
      <c r="A82" s="39"/>
      <c r="B82" s="40" t="s">
        <v>52</v>
      </c>
      <c r="C82" s="42">
        <f>SUM(C78:C81)</f>
        <v>80</v>
      </c>
    </row>
    <row r="83">
      <c r="A83" s="39"/>
      <c r="B83" s="40" t="s">
        <v>17</v>
      </c>
      <c r="C83" s="42">
        <f>E82/C82</f>
        <v>0</v>
      </c>
    </row>
    <row r="84">
      <c r="A84" s="18"/>
      <c r="B84" s="18"/>
      <c r="C84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118</v>
      </c>
    </row>
    <row r="3">
      <c r="A3" s="3" t="s">
        <v>119</v>
      </c>
    </row>
    <row r="4">
      <c r="B4" s="2" t="s">
        <v>120</v>
      </c>
      <c r="C4" s="2" t="s">
        <v>121</v>
      </c>
    </row>
    <row r="5">
      <c r="B5" s="2">
        <v>11.0</v>
      </c>
      <c r="C5" s="2">
        <v>30.0</v>
      </c>
    </row>
    <row r="6">
      <c r="B6" s="2">
        <v>12.0</v>
      </c>
      <c r="C6" s="2">
        <v>29.0</v>
      </c>
    </row>
    <row r="7">
      <c r="B7" s="2">
        <v>13.0</v>
      </c>
      <c r="C7" s="2">
        <v>29.0</v>
      </c>
    </row>
    <row r="8">
      <c r="B8" s="2">
        <v>14.0</v>
      </c>
      <c r="C8" s="2">
        <v>25.0</v>
      </c>
    </row>
    <row r="9">
      <c r="B9" s="2">
        <v>15.0</v>
      </c>
      <c r="C9" s="2">
        <v>24.0</v>
      </c>
    </row>
    <row r="10">
      <c r="B10" s="2">
        <v>16.0</v>
      </c>
      <c r="C10" s="2">
        <v>24.0</v>
      </c>
    </row>
    <row r="11">
      <c r="B11" s="2">
        <v>17.0</v>
      </c>
      <c r="C11" s="2">
        <v>24.0</v>
      </c>
    </row>
    <row r="12">
      <c r="B12" s="2">
        <v>18.0</v>
      </c>
      <c r="C12" s="2">
        <v>21.0</v>
      </c>
    </row>
    <row r="13">
      <c r="B13" s="2">
        <v>19.0</v>
      </c>
      <c r="C13" s="2">
        <v>18.0</v>
      </c>
    </row>
    <row r="14">
      <c r="B14" s="2">
        <v>20.0</v>
      </c>
      <c r="C14" s="2">
        <v>15.0</v>
      </c>
    </row>
    <row r="16">
      <c r="A16" s="3" t="s">
        <v>122</v>
      </c>
    </row>
    <row r="17">
      <c r="B17" s="76" t="s">
        <v>120</v>
      </c>
      <c r="C17" s="76" t="s">
        <v>121</v>
      </c>
      <c r="D17" s="76" t="s">
        <v>123</v>
      </c>
      <c r="E17" s="76" t="s">
        <v>110</v>
      </c>
      <c r="F17" s="76" t="s">
        <v>124</v>
      </c>
      <c r="H17" s="3" t="s">
        <v>125</v>
      </c>
      <c r="I17" s="5">
        <f t="shared" ref="I17:J17" si="1">10*(D28)</f>
        <v>35770</v>
      </c>
      <c r="J17" s="5">
        <f t="shared" si="1"/>
        <v>24850</v>
      </c>
      <c r="K17" s="5">
        <f>10*F28</f>
        <v>59250</v>
      </c>
      <c r="L17" s="5">
        <f>J19*K19</f>
        <v>1756425</v>
      </c>
    </row>
    <row r="18">
      <c r="B18" s="76">
        <v>11.0</v>
      </c>
      <c r="C18" s="76">
        <v>30.0</v>
      </c>
      <c r="D18" s="77">
        <f>B18*C18</f>
        <v>330</v>
      </c>
      <c r="E18" s="77">
        <f t="shared" ref="E18:F18" si="2">B18^2</f>
        <v>121</v>
      </c>
      <c r="F18" s="77">
        <f t="shared" si="2"/>
        <v>900</v>
      </c>
      <c r="H18" s="3" t="s">
        <v>126</v>
      </c>
      <c r="I18" s="5">
        <f>B28*C28</f>
        <v>37045</v>
      </c>
      <c r="J18" s="5">
        <f t="shared" ref="J18:K18" si="3">B28^2</f>
        <v>24025</v>
      </c>
      <c r="K18" s="5">
        <f t="shared" si="3"/>
        <v>57121</v>
      </c>
      <c r="L18" s="5">
        <f>SQRT(L17)</f>
        <v>1325.301852</v>
      </c>
    </row>
    <row r="19">
      <c r="B19" s="76">
        <v>12.0</v>
      </c>
      <c r="C19" s="76">
        <v>29.0</v>
      </c>
      <c r="D19" s="77">
        <f t="shared" ref="D19:D27" si="6">C19*B19</f>
        <v>348</v>
      </c>
      <c r="E19" s="77">
        <f t="shared" ref="E19:F19" si="4">B19^2</f>
        <v>144</v>
      </c>
      <c r="F19" s="77">
        <f t="shared" si="4"/>
        <v>841</v>
      </c>
      <c r="I19" s="5">
        <f t="shared" ref="I19:K19" si="5">I17-I18</f>
        <v>-1275</v>
      </c>
      <c r="J19" s="5">
        <f t="shared" si="5"/>
        <v>825</v>
      </c>
      <c r="K19" s="5">
        <f t="shared" si="5"/>
        <v>2129</v>
      </c>
    </row>
    <row r="20">
      <c r="B20" s="76">
        <v>13.0</v>
      </c>
      <c r="C20" s="76">
        <v>29.0</v>
      </c>
      <c r="D20" s="77">
        <f t="shared" si="6"/>
        <v>377</v>
      </c>
      <c r="E20" s="77">
        <f t="shared" ref="E20:F20" si="7">B20^2</f>
        <v>169</v>
      </c>
      <c r="F20" s="77">
        <f t="shared" si="7"/>
        <v>841</v>
      </c>
    </row>
    <row r="21">
      <c r="B21" s="76">
        <v>14.0</v>
      </c>
      <c r="C21" s="76">
        <v>25.0</v>
      </c>
      <c r="D21" s="77">
        <f t="shared" si="6"/>
        <v>350</v>
      </c>
      <c r="E21" s="77">
        <f t="shared" ref="E21:F21" si="8">B21^2</f>
        <v>196</v>
      </c>
      <c r="F21" s="77">
        <f t="shared" si="8"/>
        <v>625</v>
      </c>
    </row>
    <row r="22">
      <c r="B22" s="76">
        <v>15.0</v>
      </c>
      <c r="C22" s="76">
        <v>24.0</v>
      </c>
      <c r="D22" s="77">
        <f t="shared" si="6"/>
        <v>360</v>
      </c>
      <c r="E22" s="77">
        <f t="shared" ref="E22:F22" si="9">B22^2</f>
        <v>225</v>
      </c>
      <c r="F22" s="77">
        <f t="shared" si="9"/>
        <v>576</v>
      </c>
    </row>
    <row r="23">
      <c r="B23" s="76">
        <v>16.0</v>
      </c>
      <c r="C23" s="76">
        <v>24.0</v>
      </c>
      <c r="D23" s="77">
        <f t="shared" si="6"/>
        <v>384</v>
      </c>
      <c r="E23" s="77">
        <f t="shared" ref="E23:F23" si="10">B23^2</f>
        <v>256</v>
      </c>
      <c r="F23" s="77">
        <f t="shared" si="10"/>
        <v>576</v>
      </c>
      <c r="J23" s="78" t="s">
        <v>127</v>
      </c>
      <c r="K23" s="79">
        <f>I19/L18</f>
        <v>-0.9620449845</v>
      </c>
    </row>
    <row r="24">
      <c r="B24" s="76">
        <v>17.0</v>
      </c>
      <c r="C24" s="76">
        <v>24.0</v>
      </c>
      <c r="D24" s="77">
        <f t="shared" si="6"/>
        <v>408</v>
      </c>
      <c r="E24" s="77">
        <f t="shared" ref="E24:F24" si="11">B24^2</f>
        <v>289</v>
      </c>
      <c r="F24" s="77">
        <f t="shared" si="11"/>
        <v>576</v>
      </c>
    </row>
    <row r="25">
      <c r="B25" s="76">
        <v>18.0</v>
      </c>
      <c r="C25" s="76">
        <v>21.0</v>
      </c>
      <c r="D25" s="77">
        <f t="shared" si="6"/>
        <v>378</v>
      </c>
      <c r="E25" s="77">
        <f t="shared" ref="E25:F25" si="12">B25^2</f>
        <v>324</v>
      </c>
      <c r="F25" s="77">
        <f t="shared" si="12"/>
        <v>441</v>
      </c>
    </row>
    <row r="26">
      <c r="B26" s="76">
        <v>19.0</v>
      </c>
      <c r="C26" s="76">
        <v>18.0</v>
      </c>
      <c r="D26" s="77">
        <f t="shared" si="6"/>
        <v>342</v>
      </c>
      <c r="E26" s="77">
        <f t="shared" ref="E26:F26" si="13">B26^2</f>
        <v>361</v>
      </c>
      <c r="F26" s="77">
        <f t="shared" si="13"/>
        <v>324</v>
      </c>
    </row>
    <row r="27">
      <c r="B27" s="76">
        <v>20.0</v>
      </c>
      <c r="C27" s="76">
        <v>15.0</v>
      </c>
      <c r="D27" s="77">
        <f t="shared" si="6"/>
        <v>300</v>
      </c>
      <c r="E27" s="77">
        <f t="shared" ref="E27:F27" si="14">B27^2</f>
        <v>400</v>
      </c>
      <c r="F27" s="77">
        <f t="shared" si="14"/>
        <v>225</v>
      </c>
    </row>
    <row r="28">
      <c r="A28" s="3" t="s">
        <v>128</v>
      </c>
      <c r="B28" s="77">
        <f t="shared" ref="B28:F28" si="15">SUM(B18:B27)</f>
        <v>155</v>
      </c>
      <c r="C28" s="77">
        <f t="shared" si="15"/>
        <v>239</v>
      </c>
      <c r="D28" s="77">
        <f t="shared" si="15"/>
        <v>3577</v>
      </c>
      <c r="E28" s="77">
        <f t="shared" si="15"/>
        <v>2485</v>
      </c>
      <c r="F28" s="77">
        <f t="shared" si="15"/>
        <v>5925</v>
      </c>
    </row>
    <row r="31">
      <c r="A31" s="3" t="s">
        <v>18</v>
      </c>
    </row>
    <row r="32">
      <c r="B32" s="1" t="s">
        <v>129</v>
      </c>
      <c r="C32" s="1" t="s">
        <v>130</v>
      </c>
    </row>
    <row r="33">
      <c r="B33" s="1">
        <v>10.0</v>
      </c>
      <c r="C33" s="1">
        <v>2.0</v>
      </c>
    </row>
    <row r="34">
      <c r="B34" s="1">
        <v>11.0</v>
      </c>
      <c r="C34" s="1">
        <v>3.0</v>
      </c>
    </row>
    <row r="35">
      <c r="B35" s="1">
        <v>12.0</v>
      </c>
      <c r="C35" s="1">
        <v>8.0</v>
      </c>
    </row>
    <row r="36">
      <c r="B36" s="1">
        <v>14.0</v>
      </c>
      <c r="C36" s="1">
        <v>3.0</v>
      </c>
    </row>
    <row r="37">
      <c r="B37" s="1">
        <v>15.0</v>
      </c>
      <c r="C37" s="1">
        <v>4.0</v>
      </c>
    </row>
    <row r="40">
      <c r="A40" s="3" t="s">
        <v>131</v>
      </c>
    </row>
    <row r="41">
      <c r="B41" s="1" t="s">
        <v>129</v>
      </c>
      <c r="C41" s="1" t="s">
        <v>130</v>
      </c>
      <c r="D41" s="80" t="s">
        <v>123</v>
      </c>
      <c r="E41" s="80" t="s">
        <v>110</v>
      </c>
      <c r="F41" s="80" t="s">
        <v>124</v>
      </c>
      <c r="H41" s="5">
        <f t="shared" ref="H41:J41" si="16">5*D47</f>
        <v>1255</v>
      </c>
      <c r="I41" s="5">
        <f t="shared" si="16"/>
        <v>3930</v>
      </c>
      <c r="J41" s="5">
        <f t="shared" si="16"/>
        <v>510</v>
      </c>
      <c r="K41" s="5">
        <f>J43*I43</f>
        <v>9460</v>
      </c>
    </row>
    <row r="42">
      <c r="B42" s="1">
        <v>10.0</v>
      </c>
      <c r="C42" s="1">
        <v>2.0</v>
      </c>
      <c r="D42" s="81">
        <f t="shared" ref="D42:D46" si="19">C42*B42</f>
        <v>20</v>
      </c>
      <c r="E42" s="81">
        <f t="shared" ref="E42:F42" si="17">B42^2</f>
        <v>100</v>
      </c>
      <c r="F42" s="81">
        <f t="shared" si="17"/>
        <v>4</v>
      </c>
      <c r="H42" s="5">
        <f>B47*C47</f>
        <v>1240</v>
      </c>
      <c r="I42" s="5">
        <f t="shared" ref="I42:J42" si="18">B47^2</f>
        <v>3844</v>
      </c>
      <c r="J42" s="5">
        <f t="shared" si="18"/>
        <v>400</v>
      </c>
      <c r="K42" s="5">
        <f>SQRT(K41)</f>
        <v>97.26253133</v>
      </c>
    </row>
    <row r="43">
      <c r="B43" s="1">
        <v>11.0</v>
      </c>
      <c r="C43" s="1">
        <v>3.0</v>
      </c>
      <c r="D43" s="81">
        <f t="shared" si="19"/>
        <v>33</v>
      </c>
      <c r="E43" s="81">
        <f t="shared" ref="E43:F43" si="20">B43^2</f>
        <v>121</v>
      </c>
      <c r="F43" s="81">
        <f t="shared" si="20"/>
        <v>9</v>
      </c>
      <c r="H43" s="5">
        <f t="shared" ref="H43:J43" si="21">H41-H42</f>
        <v>15</v>
      </c>
      <c r="I43" s="5">
        <f t="shared" si="21"/>
        <v>86</v>
      </c>
      <c r="J43" s="5">
        <f t="shared" si="21"/>
        <v>110</v>
      </c>
    </row>
    <row r="44">
      <c r="B44" s="1">
        <v>12.0</v>
      </c>
      <c r="C44" s="1">
        <v>8.0</v>
      </c>
      <c r="D44" s="81">
        <f t="shared" si="19"/>
        <v>96</v>
      </c>
      <c r="E44" s="81">
        <f t="shared" ref="E44:F44" si="22">B44^2</f>
        <v>144</v>
      </c>
      <c r="F44" s="81">
        <f t="shared" si="22"/>
        <v>64</v>
      </c>
    </row>
    <row r="45">
      <c r="B45" s="1">
        <v>14.0</v>
      </c>
      <c r="C45" s="1">
        <v>3.0</v>
      </c>
      <c r="D45" s="81">
        <f t="shared" si="19"/>
        <v>42</v>
      </c>
      <c r="E45" s="81">
        <f t="shared" ref="E45:F45" si="23">B45^2</f>
        <v>196</v>
      </c>
      <c r="F45" s="81">
        <f t="shared" si="23"/>
        <v>9</v>
      </c>
      <c r="I45" s="82" t="s">
        <v>132</v>
      </c>
      <c r="J45" s="83">
        <f>H43/K42</f>
        <v>0.1542217727</v>
      </c>
    </row>
    <row r="46">
      <c r="B46" s="1">
        <v>15.0</v>
      </c>
      <c r="C46" s="1">
        <v>4.0</v>
      </c>
      <c r="D46" s="81">
        <f t="shared" si="19"/>
        <v>60</v>
      </c>
      <c r="E46" s="81">
        <f t="shared" ref="E46:F46" si="24">B46^2</f>
        <v>225</v>
      </c>
      <c r="F46" s="81">
        <f t="shared" si="24"/>
        <v>16</v>
      </c>
    </row>
    <row r="47">
      <c r="B47" s="5">
        <f t="shared" ref="B47:F47" si="25">SUM(B42:B46)</f>
        <v>62</v>
      </c>
      <c r="C47" s="5">
        <f t="shared" si="25"/>
        <v>20</v>
      </c>
      <c r="D47" s="5">
        <f t="shared" si="25"/>
        <v>251</v>
      </c>
      <c r="E47" s="5">
        <f t="shared" si="25"/>
        <v>786</v>
      </c>
      <c r="F47" s="5">
        <f t="shared" si="25"/>
        <v>102</v>
      </c>
    </row>
    <row r="49">
      <c r="A49" s="3" t="s">
        <v>95</v>
      </c>
    </row>
    <row r="50">
      <c r="B50" s="6" t="s">
        <v>133</v>
      </c>
      <c r="C50" s="6" t="s">
        <v>134</v>
      </c>
    </row>
    <row r="51">
      <c r="B51" s="6">
        <v>20.0</v>
      </c>
      <c r="C51" s="6">
        <v>6.0</v>
      </c>
    </row>
    <row r="52">
      <c r="B52" s="6">
        <v>21.0</v>
      </c>
      <c r="C52" s="6">
        <v>4.0</v>
      </c>
    </row>
    <row r="53">
      <c r="B53" s="6">
        <v>22.0</v>
      </c>
      <c r="C53" s="6">
        <v>5.0</v>
      </c>
    </row>
    <row r="54">
      <c r="B54" s="6">
        <v>23.0</v>
      </c>
      <c r="C54" s="6">
        <v>1.0</v>
      </c>
    </row>
    <row r="55">
      <c r="B55" s="6">
        <v>24.0</v>
      </c>
      <c r="C55" s="6">
        <v>4.0</v>
      </c>
    </row>
    <row r="56">
      <c r="C56" s="4"/>
    </row>
    <row r="57">
      <c r="A57" s="3" t="s">
        <v>122</v>
      </c>
      <c r="B57" s="6" t="s">
        <v>133</v>
      </c>
      <c r="C57" s="6" t="s">
        <v>134</v>
      </c>
      <c r="D57" s="3" t="s">
        <v>123</v>
      </c>
      <c r="E57" s="3" t="s">
        <v>110</v>
      </c>
      <c r="F57" s="3" t="s">
        <v>124</v>
      </c>
      <c r="G57" s="5">
        <f t="shared" ref="G57:I57" si="26">5*D63</f>
        <v>2165</v>
      </c>
      <c r="H57" s="5">
        <f t="shared" si="26"/>
        <v>12150</v>
      </c>
      <c r="I57" s="5">
        <f t="shared" si="26"/>
        <v>470</v>
      </c>
    </row>
    <row r="58">
      <c r="B58" s="6">
        <v>20.0</v>
      </c>
      <c r="C58" s="6">
        <v>6.0</v>
      </c>
      <c r="D58" s="5">
        <f t="shared" ref="D58:D62" si="29">B58*C58</f>
        <v>120</v>
      </c>
      <c r="E58" s="5">
        <f t="shared" ref="E58:F58" si="27">B58^2</f>
        <v>400</v>
      </c>
      <c r="F58" s="5">
        <f t="shared" si="27"/>
        <v>36</v>
      </c>
      <c r="G58" s="5">
        <f>B63*C63</f>
        <v>2200</v>
      </c>
      <c r="H58" s="5">
        <f t="shared" ref="H58:I58" si="28">B63^2</f>
        <v>12100</v>
      </c>
      <c r="I58" s="5">
        <f t="shared" si="28"/>
        <v>400</v>
      </c>
    </row>
    <row r="59">
      <c r="B59" s="6">
        <v>21.0</v>
      </c>
      <c r="C59" s="6">
        <v>4.0</v>
      </c>
      <c r="D59" s="5">
        <f t="shared" si="29"/>
        <v>84</v>
      </c>
      <c r="E59" s="5">
        <f t="shared" ref="E59:F59" si="30">B59^2</f>
        <v>441</v>
      </c>
      <c r="F59" s="5">
        <f t="shared" si="30"/>
        <v>16</v>
      </c>
      <c r="G59" s="5">
        <f t="shared" ref="G59:I59" si="31">G57-G58</f>
        <v>-35</v>
      </c>
      <c r="H59" s="5">
        <f t="shared" si="31"/>
        <v>50</v>
      </c>
      <c r="I59" s="5">
        <f t="shared" si="31"/>
        <v>70</v>
      </c>
      <c r="J59" s="9" t="s">
        <v>132</v>
      </c>
      <c r="K59" s="10">
        <f>G59/I61</f>
        <v>-0.5916079783</v>
      </c>
    </row>
    <row r="60">
      <c r="B60" s="6">
        <v>22.0</v>
      </c>
      <c r="C60" s="6">
        <v>5.0</v>
      </c>
      <c r="D60" s="5">
        <f t="shared" si="29"/>
        <v>110</v>
      </c>
      <c r="E60" s="5">
        <f t="shared" ref="E60:F60" si="32">B60^2</f>
        <v>484</v>
      </c>
      <c r="F60" s="5">
        <f t="shared" si="32"/>
        <v>25</v>
      </c>
      <c r="I60" s="5">
        <f>I59*H59</f>
        <v>3500</v>
      </c>
    </row>
    <row r="61">
      <c r="B61" s="6">
        <v>23.0</v>
      </c>
      <c r="C61" s="6">
        <v>1.0</v>
      </c>
      <c r="D61" s="5">
        <f t="shared" si="29"/>
        <v>23</v>
      </c>
      <c r="E61" s="5">
        <f t="shared" ref="E61:F61" si="33">B61^2</f>
        <v>529</v>
      </c>
      <c r="F61" s="5">
        <f t="shared" si="33"/>
        <v>1</v>
      </c>
      <c r="I61" s="5">
        <f>SQRT(I60)</f>
        <v>59.16079783</v>
      </c>
    </row>
    <row r="62">
      <c r="B62" s="6">
        <v>24.0</v>
      </c>
      <c r="C62" s="6">
        <v>4.0</v>
      </c>
      <c r="D62" s="5">
        <f t="shared" si="29"/>
        <v>96</v>
      </c>
      <c r="E62" s="5">
        <f t="shared" ref="E62:F62" si="34">B62^2</f>
        <v>576</v>
      </c>
      <c r="F62" s="5">
        <f t="shared" si="34"/>
        <v>16</v>
      </c>
    </row>
    <row r="63">
      <c r="B63" s="5">
        <f t="shared" ref="B63:F63" si="35">SUM(B58:B62)</f>
        <v>110</v>
      </c>
      <c r="C63" s="5">
        <f t="shared" si="35"/>
        <v>20</v>
      </c>
      <c r="D63" s="5">
        <f t="shared" si="35"/>
        <v>433</v>
      </c>
      <c r="E63" s="5">
        <f t="shared" si="35"/>
        <v>2430</v>
      </c>
      <c r="F63" s="5">
        <f t="shared" si="35"/>
        <v>94</v>
      </c>
    </row>
    <row r="66">
      <c r="A66" s="3" t="s">
        <v>26</v>
      </c>
    </row>
    <row r="67">
      <c r="B67" s="1" t="s">
        <v>135</v>
      </c>
      <c r="C67" s="1" t="s">
        <v>136</v>
      </c>
    </row>
    <row r="68">
      <c r="B68" s="1">
        <v>9.0</v>
      </c>
      <c r="C68" s="1">
        <v>5.0</v>
      </c>
    </row>
    <row r="69">
      <c r="B69" s="1">
        <v>19.0</v>
      </c>
      <c r="C69" s="1">
        <v>9.0</v>
      </c>
    </row>
    <row r="70">
      <c r="B70" s="1">
        <v>29.0</v>
      </c>
      <c r="C70" s="1">
        <v>17.0</v>
      </c>
    </row>
    <row r="71">
      <c r="B71" s="1">
        <v>39.0</v>
      </c>
      <c r="C71" s="1">
        <v>29.0</v>
      </c>
    </row>
    <row r="72">
      <c r="B72" s="1">
        <v>49.0</v>
      </c>
      <c r="C72" s="1">
        <v>45.0</v>
      </c>
    </row>
    <row r="73">
      <c r="B73" s="1">
        <v>59.0</v>
      </c>
      <c r="C73" s="1">
        <v>60.0</v>
      </c>
    </row>
    <row r="74">
      <c r="B74" s="1">
        <v>69.0</v>
      </c>
      <c r="C74" s="1">
        <v>70.0</v>
      </c>
    </row>
    <row r="75">
      <c r="B75" s="1">
        <v>79.0</v>
      </c>
      <c r="C75" s="1">
        <v>78.0</v>
      </c>
    </row>
    <row r="76">
      <c r="B76" s="1">
        <v>89.0</v>
      </c>
      <c r="C76" s="1">
        <v>83.0</v>
      </c>
    </row>
    <row r="77">
      <c r="B77" s="1">
        <v>99.0</v>
      </c>
      <c r="C77" s="1">
        <v>85.0</v>
      </c>
    </row>
    <row r="81">
      <c r="A81" s="3" t="s">
        <v>131</v>
      </c>
    </row>
    <row r="82">
      <c r="B82" s="1" t="s">
        <v>135</v>
      </c>
      <c r="C82" s="1" t="s">
        <v>136</v>
      </c>
      <c r="D82" s="4"/>
      <c r="E82" s="2" t="s">
        <v>123</v>
      </c>
      <c r="F82" s="2" t="s">
        <v>110</v>
      </c>
      <c r="G82" s="2" t="s">
        <v>124</v>
      </c>
      <c r="H82" s="2" t="s">
        <v>137</v>
      </c>
      <c r="I82" s="5">
        <f t="shared" ref="I82:K82" si="36">10*E93</f>
        <v>343790</v>
      </c>
      <c r="J82" s="5">
        <f t="shared" si="36"/>
        <v>374100</v>
      </c>
      <c r="K82" s="5">
        <f t="shared" si="36"/>
        <v>319590</v>
      </c>
    </row>
    <row r="83">
      <c r="B83" s="1">
        <v>9.0</v>
      </c>
      <c r="C83" s="1">
        <v>5.0</v>
      </c>
      <c r="D83" s="4"/>
      <c r="E83" s="4">
        <f t="shared" ref="E83:E92" si="39">C83*B83</f>
        <v>45</v>
      </c>
      <c r="F83" s="4">
        <f t="shared" ref="F83:G83" si="37">B83^2</f>
        <v>81</v>
      </c>
      <c r="G83" s="4">
        <f t="shared" si="37"/>
        <v>25</v>
      </c>
      <c r="H83" s="4"/>
      <c r="I83" s="5">
        <f>B93*C93</f>
        <v>259740</v>
      </c>
      <c r="J83" s="5">
        <f t="shared" ref="J83:K83" si="38">B93^2</f>
        <v>291600</v>
      </c>
      <c r="K83" s="5">
        <f t="shared" si="38"/>
        <v>231361</v>
      </c>
    </row>
    <row r="84">
      <c r="B84" s="1">
        <v>19.0</v>
      </c>
      <c r="C84" s="1">
        <v>9.0</v>
      </c>
      <c r="D84" s="4"/>
      <c r="E84" s="4">
        <f t="shared" si="39"/>
        <v>171</v>
      </c>
      <c r="F84" s="4">
        <f t="shared" ref="F84:G84" si="40">B84^2</f>
        <v>361</v>
      </c>
      <c r="G84" s="4">
        <f t="shared" si="40"/>
        <v>81</v>
      </c>
      <c r="H84" s="4"/>
      <c r="I84" s="5">
        <f t="shared" ref="I84:K84" si="41">I82-I83</f>
        <v>84050</v>
      </c>
      <c r="J84" s="5">
        <f t="shared" si="41"/>
        <v>82500</v>
      </c>
      <c r="K84" s="5">
        <f t="shared" si="41"/>
        <v>88229</v>
      </c>
    </row>
    <row r="85">
      <c r="B85" s="1">
        <v>29.0</v>
      </c>
      <c r="C85" s="1">
        <v>17.0</v>
      </c>
      <c r="D85" s="4"/>
      <c r="E85" s="4">
        <f t="shared" si="39"/>
        <v>493</v>
      </c>
      <c r="F85" s="4">
        <f t="shared" ref="F85:G85" si="42">B85^2</f>
        <v>841</v>
      </c>
      <c r="G85" s="4">
        <f t="shared" si="42"/>
        <v>289</v>
      </c>
      <c r="H85" s="4"/>
      <c r="K85" s="5">
        <f>J84*K84</f>
        <v>7278892500</v>
      </c>
    </row>
    <row r="86">
      <c r="B86" s="1">
        <v>39.0</v>
      </c>
      <c r="C86" s="1">
        <v>29.0</v>
      </c>
      <c r="D86" s="4"/>
      <c r="E86" s="4">
        <f t="shared" si="39"/>
        <v>1131</v>
      </c>
      <c r="F86" s="4">
        <f t="shared" ref="F86:G86" si="43">B86^2</f>
        <v>1521</v>
      </c>
      <c r="G86" s="4">
        <f t="shared" si="43"/>
        <v>841</v>
      </c>
      <c r="H86" s="4"/>
      <c r="K86" s="5">
        <f>SQRT(K85)</f>
        <v>85316.42573</v>
      </c>
    </row>
    <row r="87">
      <c r="B87" s="1">
        <v>49.0</v>
      </c>
      <c r="C87" s="1">
        <v>45.0</v>
      </c>
      <c r="D87" s="4"/>
      <c r="E87" s="4">
        <f t="shared" si="39"/>
        <v>2205</v>
      </c>
      <c r="F87" s="4">
        <f t="shared" ref="F87:G87" si="44">B87^2</f>
        <v>2401</v>
      </c>
      <c r="G87" s="4">
        <f t="shared" si="44"/>
        <v>2025</v>
      </c>
      <c r="H87" s="4"/>
      <c r="K87" s="84" t="s">
        <v>138</v>
      </c>
      <c r="L87" s="85">
        <f>I84/K86</f>
        <v>0.9851561323</v>
      </c>
    </row>
    <row r="88">
      <c r="B88" s="1">
        <v>59.0</v>
      </c>
      <c r="C88" s="1">
        <v>60.0</v>
      </c>
      <c r="D88" s="4"/>
      <c r="E88" s="4">
        <f t="shared" si="39"/>
        <v>3540</v>
      </c>
      <c r="F88" s="4">
        <f t="shared" ref="F88:G88" si="45">B88^2</f>
        <v>3481</v>
      </c>
      <c r="G88" s="4">
        <f t="shared" si="45"/>
        <v>3600</v>
      </c>
      <c r="H88" s="4"/>
    </row>
    <row r="89">
      <c r="B89" s="1">
        <v>69.0</v>
      </c>
      <c r="C89" s="1">
        <v>70.0</v>
      </c>
      <c r="D89" s="4"/>
      <c r="E89" s="4">
        <f t="shared" si="39"/>
        <v>4830</v>
      </c>
      <c r="F89" s="4">
        <f t="shared" ref="F89:G89" si="46">B89^2</f>
        <v>4761</v>
      </c>
      <c r="G89" s="4">
        <f t="shared" si="46"/>
        <v>4900</v>
      </c>
      <c r="H89" s="4"/>
    </row>
    <row r="90">
      <c r="B90" s="1">
        <v>79.0</v>
      </c>
      <c r="C90" s="1">
        <v>78.0</v>
      </c>
      <c r="D90" s="4"/>
      <c r="E90" s="4">
        <f t="shared" si="39"/>
        <v>6162</v>
      </c>
      <c r="F90" s="4">
        <f t="shared" ref="F90:G90" si="47">B90^2</f>
        <v>6241</v>
      </c>
      <c r="G90" s="4">
        <f t="shared" si="47"/>
        <v>6084</v>
      </c>
      <c r="H90" s="4"/>
    </row>
    <row r="91">
      <c r="B91" s="1">
        <v>89.0</v>
      </c>
      <c r="C91" s="1">
        <v>83.0</v>
      </c>
      <c r="D91" s="4"/>
      <c r="E91" s="4">
        <f t="shared" si="39"/>
        <v>7387</v>
      </c>
      <c r="F91" s="4">
        <f t="shared" ref="F91:G91" si="48">B91^2</f>
        <v>7921</v>
      </c>
      <c r="G91" s="4">
        <f t="shared" si="48"/>
        <v>6889</v>
      </c>
      <c r="H91" s="4"/>
    </row>
    <row r="92">
      <c r="B92" s="1">
        <v>99.0</v>
      </c>
      <c r="C92" s="1">
        <v>85.0</v>
      </c>
      <c r="D92" s="4"/>
      <c r="E92" s="4">
        <f t="shared" si="39"/>
        <v>8415</v>
      </c>
      <c r="F92" s="4">
        <f t="shared" ref="F92:G92" si="49">B92^2</f>
        <v>9801</v>
      </c>
      <c r="G92" s="4">
        <f t="shared" si="49"/>
        <v>7225</v>
      </c>
      <c r="H92" s="4"/>
    </row>
    <row r="93">
      <c r="B93" s="5">
        <f t="shared" ref="B93:C93" si="50">SUM(B83:B92)</f>
        <v>540</v>
      </c>
      <c r="C93" s="5">
        <f t="shared" si="50"/>
        <v>481</v>
      </c>
      <c r="E93" s="5">
        <f t="shared" ref="E93:G93" si="51">SUM(E83:E92)</f>
        <v>34379</v>
      </c>
      <c r="F93" s="5">
        <f t="shared" si="51"/>
        <v>37410</v>
      </c>
      <c r="G93" s="5">
        <f t="shared" si="51"/>
        <v>31959</v>
      </c>
    </row>
    <row r="97">
      <c r="A97" s="8" t="s">
        <v>35</v>
      </c>
      <c r="B97" s="86"/>
      <c r="C97" s="86"/>
    </row>
    <row r="98">
      <c r="A98" s="86"/>
      <c r="B98" s="8" t="s">
        <v>139</v>
      </c>
      <c r="C98" s="8" t="s">
        <v>140</v>
      </c>
    </row>
    <row r="99">
      <c r="A99" s="86"/>
      <c r="B99" s="8">
        <v>70.0</v>
      </c>
      <c r="C99" s="8">
        <v>90.0</v>
      </c>
    </row>
    <row r="100">
      <c r="A100" s="86"/>
      <c r="B100" s="8">
        <v>78.0</v>
      </c>
      <c r="C100" s="8">
        <v>94.0</v>
      </c>
    </row>
    <row r="101">
      <c r="A101" s="86"/>
      <c r="B101" s="8">
        <v>90.0</v>
      </c>
      <c r="C101" s="8">
        <v>79.0</v>
      </c>
    </row>
    <row r="102">
      <c r="A102" s="86"/>
      <c r="B102" s="8">
        <v>87.0</v>
      </c>
      <c r="C102" s="8">
        <v>86.0</v>
      </c>
    </row>
    <row r="103">
      <c r="A103" s="86"/>
      <c r="B103" s="8">
        <v>84.0</v>
      </c>
      <c r="C103" s="8">
        <v>84.0</v>
      </c>
    </row>
    <row r="104">
      <c r="A104" s="86"/>
      <c r="B104" s="8">
        <v>86.0</v>
      </c>
      <c r="C104" s="8">
        <v>83.0</v>
      </c>
    </row>
    <row r="105">
      <c r="A105" s="86"/>
      <c r="B105" s="8">
        <v>91.0</v>
      </c>
      <c r="C105" s="8">
        <v>88.0</v>
      </c>
    </row>
    <row r="106">
      <c r="A106" s="86"/>
      <c r="B106" s="8">
        <v>74.0</v>
      </c>
      <c r="C106" s="8">
        <v>92.0</v>
      </c>
    </row>
    <row r="107">
      <c r="A107" s="86"/>
      <c r="B107" s="8">
        <v>83.0</v>
      </c>
      <c r="C107" s="8">
        <v>76.0</v>
      </c>
    </row>
    <row r="108">
      <c r="A108" s="86"/>
      <c r="B108" s="8">
        <v>85.0</v>
      </c>
      <c r="C108" s="8">
        <v>75.0</v>
      </c>
    </row>
    <row r="112">
      <c r="A112" s="3" t="s">
        <v>141</v>
      </c>
    </row>
    <row r="113">
      <c r="B113" s="8"/>
      <c r="C113" s="86"/>
      <c r="D113" s="86"/>
    </row>
    <row r="114">
      <c r="B114" s="86"/>
      <c r="C114" s="8" t="s">
        <v>139</v>
      </c>
      <c r="D114" s="8" t="s">
        <v>140</v>
      </c>
      <c r="E114" s="3" t="s">
        <v>123</v>
      </c>
      <c r="F114" s="3" t="s">
        <v>110</v>
      </c>
      <c r="G114" s="3" t="s">
        <v>124</v>
      </c>
      <c r="H114" s="3" t="s">
        <v>137</v>
      </c>
      <c r="I114" s="5">
        <f t="shared" ref="I114:K114" si="52">10*E125</f>
        <v>699170</v>
      </c>
      <c r="J114" s="5">
        <f t="shared" si="52"/>
        <v>689760</v>
      </c>
      <c r="K114" s="5">
        <f t="shared" si="52"/>
        <v>721270</v>
      </c>
    </row>
    <row r="115">
      <c r="B115" s="86"/>
      <c r="C115" s="8">
        <v>70.0</v>
      </c>
      <c r="D115" s="8">
        <v>90.0</v>
      </c>
      <c r="E115" s="5">
        <f t="shared" ref="E115:E124" si="55">C115*D115</f>
        <v>6300</v>
      </c>
      <c r="F115" s="5">
        <f t="shared" ref="F115:G115" si="53">C115^2</f>
        <v>4900</v>
      </c>
      <c r="G115" s="5">
        <f t="shared" si="53"/>
        <v>8100</v>
      </c>
      <c r="I115" s="5">
        <f>C125*D125</f>
        <v>701316</v>
      </c>
      <c r="J115" s="5">
        <f t="shared" ref="J115:K115" si="54">C125^2</f>
        <v>685584</v>
      </c>
      <c r="K115" s="5">
        <f t="shared" si="54"/>
        <v>717409</v>
      </c>
    </row>
    <row r="116">
      <c r="B116" s="86"/>
      <c r="C116" s="8">
        <v>78.0</v>
      </c>
      <c r="D116" s="8">
        <v>94.0</v>
      </c>
      <c r="E116" s="5">
        <f t="shared" si="55"/>
        <v>7332</v>
      </c>
      <c r="F116" s="5">
        <f t="shared" ref="F116:G116" si="56">C116^2</f>
        <v>6084</v>
      </c>
      <c r="G116" s="5">
        <f t="shared" si="56"/>
        <v>8836</v>
      </c>
      <c r="I116" s="5">
        <f t="shared" ref="I116:K116" si="57">I114-I115</f>
        <v>-2146</v>
      </c>
      <c r="J116" s="5">
        <f t="shared" si="57"/>
        <v>4176</v>
      </c>
      <c r="K116" s="5">
        <f t="shared" si="57"/>
        <v>3861</v>
      </c>
    </row>
    <row r="117">
      <c r="B117" s="86"/>
      <c r="C117" s="8">
        <v>90.0</v>
      </c>
      <c r="D117" s="8">
        <v>79.0</v>
      </c>
      <c r="E117" s="5">
        <f t="shared" si="55"/>
        <v>7110</v>
      </c>
      <c r="F117" s="5">
        <f t="shared" ref="F117:G117" si="58">C117^2</f>
        <v>8100</v>
      </c>
      <c r="G117" s="5">
        <f t="shared" si="58"/>
        <v>6241</v>
      </c>
      <c r="K117" s="5">
        <f>J116*K116</f>
        <v>16123536</v>
      </c>
    </row>
    <row r="118">
      <c r="B118" s="86"/>
      <c r="C118" s="8">
        <v>87.0</v>
      </c>
      <c r="D118" s="8">
        <v>86.0</v>
      </c>
      <c r="E118" s="5">
        <f t="shared" si="55"/>
        <v>7482</v>
      </c>
      <c r="F118" s="5">
        <f t="shared" ref="F118:G118" si="59">C118^2</f>
        <v>7569</v>
      </c>
      <c r="G118" s="5">
        <f t="shared" si="59"/>
        <v>7396</v>
      </c>
      <c r="K118" s="5">
        <f>SQRT(K117)</f>
        <v>4015.412308</v>
      </c>
    </row>
    <row r="119">
      <c r="B119" s="86"/>
      <c r="C119" s="8">
        <v>84.0</v>
      </c>
      <c r="D119" s="8">
        <v>84.0</v>
      </c>
      <c r="E119" s="5">
        <f t="shared" si="55"/>
        <v>7056</v>
      </c>
      <c r="F119" s="5">
        <f t="shared" ref="F119:G119" si="60">C119^2</f>
        <v>7056</v>
      </c>
      <c r="G119" s="5">
        <f t="shared" si="60"/>
        <v>7056</v>
      </c>
      <c r="K119" s="3" t="s">
        <v>132</v>
      </c>
      <c r="L119" s="5">
        <f>I116/K118</f>
        <v>-0.5344407587</v>
      </c>
    </row>
    <row r="120">
      <c r="B120" s="86"/>
      <c r="C120" s="8">
        <v>86.0</v>
      </c>
      <c r="D120" s="8">
        <v>83.0</v>
      </c>
      <c r="E120" s="5">
        <f t="shared" si="55"/>
        <v>7138</v>
      </c>
      <c r="F120" s="5">
        <f t="shared" ref="F120:G120" si="61">C120^2</f>
        <v>7396</v>
      </c>
      <c r="G120" s="5">
        <f t="shared" si="61"/>
        <v>6889</v>
      </c>
    </row>
    <row r="121">
      <c r="B121" s="86"/>
      <c r="C121" s="8">
        <v>91.0</v>
      </c>
      <c r="D121" s="8">
        <v>88.0</v>
      </c>
      <c r="E121" s="5">
        <f t="shared" si="55"/>
        <v>8008</v>
      </c>
      <c r="F121" s="5">
        <f t="shared" ref="F121:G121" si="62">C121^2</f>
        <v>8281</v>
      </c>
      <c r="G121" s="5">
        <f t="shared" si="62"/>
        <v>7744</v>
      </c>
    </row>
    <row r="122">
      <c r="B122" s="86"/>
      <c r="C122" s="8">
        <v>74.0</v>
      </c>
      <c r="D122" s="8">
        <v>92.0</v>
      </c>
      <c r="E122" s="5">
        <f t="shared" si="55"/>
        <v>6808</v>
      </c>
      <c r="F122" s="5">
        <f t="shared" ref="F122:G122" si="63">C122^2</f>
        <v>5476</v>
      </c>
      <c r="G122" s="5">
        <f t="shared" si="63"/>
        <v>8464</v>
      </c>
    </row>
    <row r="123">
      <c r="B123" s="86"/>
      <c r="C123" s="8">
        <v>83.0</v>
      </c>
      <c r="D123" s="8">
        <v>76.0</v>
      </c>
      <c r="E123" s="5">
        <f t="shared" si="55"/>
        <v>6308</v>
      </c>
      <c r="F123" s="5">
        <f t="shared" ref="F123:G123" si="64">C123^2</f>
        <v>6889</v>
      </c>
      <c r="G123" s="5">
        <f t="shared" si="64"/>
        <v>5776</v>
      </c>
    </row>
    <row r="124">
      <c r="B124" s="86"/>
      <c r="C124" s="8">
        <v>85.0</v>
      </c>
      <c r="D124" s="8">
        <v>75.0</v>
      </c>
      <c r="E124" s="5">
        <f t="shared" si="55"/>
        <v>6375</v>
      </c>
      <c r="F124" s="5">
        <f t="shared" ref="F124:G124" si="65">C124^2</f>
        <v>7225</v>
      </c>
      <c r="G124" s="5">
        <f t="shared" si="65"/>
        <v>5625</v>
      </c>
    </row>
    <row r="125">
      <c r="C125" s="5">
        <f t="shared" ref="C125:G125" si="66">SUM(C115:C124)</f>
        <v>828</v>
      </c>
      <c r="D125" s="5">
        <f t="shared" si="66"/>
        <v>847</v>
      </c>
      <c r="E125" s="5">
        <f t="shared" si="66"/>
        <v>69917</v>
      </c>
      <c r="F125" s="5">
        <f t="shared" si="66"/>
        <v>68976</v>
      </c>
      <c r="G125" s="5">
        <f t="shared" si="66"/>
        <v>72127</v>
      </c>
    </row>
    <row r="128">
      <c r="A128" s="3" t="s">
        <v>42</v>
      </c>
      <c r="B128" s="7"/>
      <c r="C128" s="7"/>
    </row>
    <row r="129">
      <c r="B129" s="6" t="s">
        <v>142</v>
      </c>
      <c r="C129" s="6" t="s">
        <v>143</v>
      </c>
    </row>
    <row r="130">
      <c r="B130" s="6">
        <v>99.0</v>
      </c>
      <c r="C130" s="6">
        <v>2.0</v>
      </c>
    </row>
    <row r="131">
      <c r="B131" s="6">
        <v>120.0</v>
      </c>
      <c r="C131" s="6">
        <v>0.0</v>
      </c>
    </row>
    <row r="132">
      <c r="B132" s="6">
        <v>98.0</v>
      </c>
      <c r="C132" s="6">
        <v>25.0</v>
      </c>
    </row>
    <row r="133">
      <c r="B133" s="6">
        <v>102.0</v>
      </c>
      <c r="C133" s="6">
        <v>45.0</v>
      </c>
    </row>
    <row r="134">
      <c r="B134" s="6">
        <v>123.0</v>
      </c>
      <c r="C134" s="6">
        <v>14.0</v>
      </c>
    </row>
    <row r="135">
      <c r="B135" s="6">
        <v>105.0</v>
      </c>
      <c r="C135" s="6">
        <v>20.0</v>
      </c>
    </row>
    <row r="136">
      <c r="B136" s="6">
        <v>85.0</v>
      </c>
      <c r="C136" s="6">
        <v>15.0</v>
      </c>
    </row>
    <row r="137">
      <c r="B137" s="6">
        <v>110.0</v>
      </c>
      <c r="C137" s="6">
        <v>19.0</v>
      </c>
    </row>
    <row r="138">
      <c r="B138" s="6">
        <v>117.0</v>
      </c>
      <c r="C138" s="6">
        <v>22.0</v>
      </c>
    </row>
    <row r="139">
      <c r="B139" s="6">
        <v>90.0</v>
      </c>
      <c r="C139" s="6">
        <v>4.0</v>
      </c>
    </row>
    <row r="144">
      <c r="A144" s="3" t="s">
        <v>131</v>
      </c>
    </row>
    <row r="145">
      <c r="B145" s="7"/>
      <c r="C145" s="7"/>
    </row>
    <row r="146">
      <c r="B146" s="6" t="s">
        <v>142</v>
      </c>
      <c r="C146" s="6" t="s">
        <v>143</v>
      </c>
      <c r="D146" s="3" t="s">
        <v>123</v>
      </c>
      <c r="E146" s="3" t="s">
        <v>114</v>
      </c>
      <c r="F146" s="3" t="s">
        <v>144</v>
      </c>
      <c r="G146" s="5">
        <f t="shared" ref="G146:I146" si="67">10*D157</f>
        <v>173590</v>
      </c>
      <c r="H146" s="5">
        <f t="shared" si="67"/>
        <v>1114770</v>
      </c>
      <c r="I146" s="5">
        <f t="shared" si="67"/>
        <v>43360</v>
      </c>
    </row>
    <row r="147">
      <c r="B147" s="6">
        <v>99.0</v>
      </c>
      <c r="C147" s="6">
        <v>2.0</v>
      </c>
      <c r="D147" s="5">
        <f>C147*B147</f>
        <v>198</v>
      </c>
      <c r="E147" s="5">
        <f t="shared" ref="E147:F147" si="68">B147^2</f>
        <v>9801</v>
      </c>
      <c r="F147" s="5">
        <f t="shared" si="68"/>
        <v>4</v>
      </c>
      <c r="G147" s="5">
        <f>B157*C157</f>
        <v>174134</v>
      </c>
      <c r="H147" s="5">
        <f t="shared" ref="H147:I147" si="69">B157^2</f>
        <v>1100401</v>
      </c>
      <c r="I147" s="5">
        <f t="shared" si="69"/>
        <v>27556</v>
      </c>
    </row>
    <row r="148">
      <c r="B148" s="6">
        <v>120.0</v>
      </c>
      <c r="C148" s="6">
        <v>0.0</v>
      </c>
      <c r="D148" s="5">
        <f t="shared" ref="D148:D156" si="71">B148*C148</f>
        <v>0</v>
      </c>
      <c r="E148" s="5">
        <f t="shared" ref="E148:E156" si="72">B148^2</f>
        <v>14400</v>
      </c>
      <c r="F148" s="5">
        <f>0</f>
        <v>0</v>
      </c>
      <c r="G148" s="5">
        <f t="shared" ref="G148:I148" si="70">G146-G147</f>
        <v>-544</v>
      </c>
      <c r="H148" s="5">
        <f t="shared" si="70"/>
        <v>14369</v>
      </c>
      <c r="I148" s="5">
        <f t="shared" si="70"/>
        <v>15804</v>
      </c>
    </row>
    <row r="149">
      <c r="B149" s="6">
        <v>98.0</v>
      </c>
      <c r="C149" s="6">
        <v>25.0</v>
      </c>
      <c r="D149" s="5">
        <f t="shared" si="71"/>
        <v>2450</v>
      </c>
      <c r="E149" s="5">
        <f t="shared" si="72"/>
        <v>9604</v>
      </c>
      <c r="F149" s="5">
        <f t="shared" ref="F149:F156" si="73">C149^2</f>
        <v>625</v>
      </c>
      <c r="I149" s="5">
        <f>H148*I148</f>
        <v>227087676</v>
      </c>
    </row>
    <row r="150">
      <c r="B150" s="6">
        <v>102.0</v>
      </c>
      <c r="C150" s="6">
        <v>45.0</v>
      </c>
      <c r="D150" s="5">
        <f t="shared" si="71"/>
        <v>4590</v>
      </c>
      <c r="E150" s="5">
        <f t="shared" si="72"/>
        <v>10404</v>
      </c>
      <c r="F150" s="5">
        <f t="shared" si="73"/>
        <v>2025</v>
      </c>
      <c r="I150" s="5">
        <f>SQRT(I149)</f>
        <v>15069.42852</v>
      </c>
    </row>
    <row r="151">
      <c r="B151" s="6">
        <v>123.0</v>
      </c>
      <c r="C151" s="6">
        <v>14.0</v>
      </c>
      <c r="D151" s="5">
        <f t="shared" si="71"/>
        <v>1722</v>
      </c>
      <c r="E151" s="5">
        <f t="shared" si="72"/>
        <v>15129</v>
      </c>
      <c r="F151" s="5">
        <f t="shared" si="73"/>
        <v>196</v>
      </c>
      <c r="I151" s="87" t="s">
        <v>132</v>
      </c>
      <c r="J151" s="88">
        <f>G148/I150</f>
        <v>-0.03609957731</v>
      </c>
    </row>
    <row r="152">
      <c r="B152" s="6">
        <v>105.0</v>
      </c>
      <c r="C152" s="6">
        <v>20.0</v>
      </c>
      <c r="D152" s="5">
        <f t="shared" si="71"/>
        <v>2100</v>
      </c>
      <c r="E152" s="5">
        <f t="shared" si="72"/>
        <v>11025</v>
      </c>
      <c r="F152" s="5">
        <f t="shared" si="73"/>
        <v>400</v>
      </c>
    </row>
    <row r="153">
      <c r="B153" s="6">
        <v>85.0</v>
      </c>
      <c r="C153" s="6">
        <v>15.0</v>
      </c>
      <c r="D153" s="5">
        <f t="shared" si="71"/>
        <v>1275</v>
      </c>
      <c r="E153" s="5">
        <f t="shared" si="72"/>
        <v>7225</v>
      </c>
      <c r="F153" s="5">
        <f t="shared" si="73"/>
        <v>225</v>
      </c>
    </row>
    <row r="154">
      <c r="B154" s="6">
        <v>110.0</v>
      </c>
      <c r="C154" s="6">
        <v>19.0</v>
      </c>
      <c r="D154" s="5">
        <f t="shared" si="71"/>
        <v>2090</v>
      </c>
      <c r="E154" s="5">
        <f t="shared" si="72"/>
        <v>12100</v>
      </c>
      <c r="F154" s="5">
        <f t="shared" si="73"/>
        <v>361</v>
      </c>
    </row>
    <row r="155">
      <c r="B155" s="6">
        <v>117.0</v>
      </c>
      <c r="C155" s="6">
        <v>22.0</v>
      </c>
      <c r="D155" s="5">
        <f t="shared" si="71"/>
        <v>2574</v>
      </c>
      <c r="E155" s="5">
        <f t="shared" si="72"/>
        <v>13689</v>
      </c>
      <c r="F155" s="5">
        <f t="shared" si="73"/>
        <v>484</v>
      </c>
    </row>
    <row r="156">
      <c r="B156" s="6">
        <v>90.0</v>
      </c>
      <c r="C156" s="6">
        <v>4.0</v>
      </c>
      <c r="D156" s="5">
        <f t="shared" si="71"/>
        <v>360</v>
      </c>
      <c r="E156" s="5">
        <f t="shared" si="72"/>
        <v>8100</v>
      </c>
      <c r="F156" s="5">
        <f t="shared" si="73"/>
        <v>16</v>
      </c>
    </row>
    <row r="157">
      <c r="B157" s="5">
        <f t="shared" ref="B157:F157" si="74">SUM(B147:B156)</f>
        <v>1049</v>
      </c>
      <c r="C157" s="5">
        <f t="shared" si="74"/>
        <v>166</v>
      </c>
      <c r="D157" s="5">
        <f t="shared" si="74"/>
        <v>17359</v>
      </c>
      <c r="E157" s="5">
        <f t="shared" si="74"/>
        <v>111477</v>
      </c>
      <c r="F157" s="5">
        <f t="shared" si="74"/>
        <v>4336</v>
      </c>
    </row>
    <row r="161">
      <c r="A161" s="3" t="s">
        <v>48</v>
      </c>
    </row>
    <row r="162">
      <c r="B162" s="9" t="s">
        <v>145</v>
      </c>
      <c r="C162" s="9" t="s">
        <v>146</v>
      </c>
    </row>
    <row r="163">
      <c r="B163" s="9">
        <v>3.0</v>
      </c>
      <c r="C163" s="9">
        <v>74.0</v>
      </c>
    </row>
    <row r="164">
      <c r="B164" s="9">
        <v>1.0</v>
      </c>
      <c r="C164" s="9">
        <v>68.0</v>
      </c>
    </row>
    <row r="165">
      <c r="B165" s="9">
        <v>1.0</v>
      </c>
      <c r="C165" s="9">
        <v>66.0</v>
      </c>
    </row>
    <row r="166">
      <c r="B166" s="9">
        <v>3.0</v>
      </c>
      <c r="C166" s="9">
        <v>72.0</v>
      </c>
    </row>
    <row r="167">
      <c r="B167" s="9">
        <v>4.0</v>
      </c>
      <c r="C167" s="9">
        <v>80.0</v>
      </c>
    </row>
    <row r="168">
      <c r="B168" s="9">
        <v>2.0</v>
      </c>
      <c r="C168" s="9">
        <v>68.0</v>
      </c>
    </row>
    <row r="169">
      <c r="B169" s="9">
        <v>4.0</v>
      </c>
      <c r="C169" s="9">
        <v>78.0</v>
      </c>
    </row>
    <row r="173">
      <c r="A173" s="3" t="s">
        <v>131</v>
      </c>
      <c r="B173" s="9" t="s">
        <v>145</v>
      </c>
      <c r="C173" s="9" t="s">
        <v>146</v>
      </c>
      <c r="D173" s="3" t="s">
        <v>123</v>
      </c>
      <c r="E173" s="3" t="s">
        <v>114</v>
      </c>
      <c r="F173" s="3" t="s">
        <v>144</v>
      </c>
    </row>
    <row r="174">
      <c r="B174" s="9">
        <v>3.0</v>
      </c>
      <c r="C174" s="9">
        <v>74.0</v>
      </c>
      <c r="D174" s="5">
        <f t="shared" ref="D174:D180" si="76">B174*C174</f>
        <v>222</v>
      </c>
      <c r="E174" s="5">
        <f t="shared" ref="E174:F174" si="75">B174^2</f>
        <v>9</v>
      </c>
      <c r="F174" s="5">
        <f t="shared" si="75"/>
        <v>5476</v>
      </c>
      <c r="G174" s="5">
        <f>7*D181</f>
        <v>9380</v>
      </c>
      <c r="H174" s="5">
        <f>10*E181</f>
        <v>560</v>
      </c>
      <c r="I174" s="5">
        <f>7*F181</f>
        <v>257236</v>
      </c>
    </row>
    <row r="175">
      <c r="B175" s="9">
        <v>1.0</v>
      </c>
      <c r="C175" s="9">
        <v>68.0</v>
      </c>
      <c r="D175" s="5">
        <f t="shared" si="76"/>
        <v>68</v>
      </c>
      <c r="E175" s="5">
        <f t="shared" ref="E175:F175" si="77">B175^2</f>
        <v>1</v>
      </c>
      <c r="F175" s="5">
        <f t="shared" si="77"/>
        <v>4624</v>
      </c>
      <c r="G175" s="5">
        <f>B181*C181</f>
        <v>9108</v>
      </c>
      <c r="H175" s="5">
        <f t="shared" ref="H175:I175" si="78">B181^2</f>
        <v>324</v>
      </c>
      <c r="I175" s="5">
        <f t="shared" si="78"/>
        <v>256036</v>
      </c>
    </row>
    <row r="176">
      <c r="B176" s="9">
        <v>1.0</v>
      </c>
      <c r="C176" s="9">
        <v>66.0</v>
      </c>
      <c r="D176" s="5">
        <f t="shared" si="76"/>
        <v>66</v>
      </c>
      <c r="E176" s="3">
        <v>1.0</v>
      </c>
      <c r="F176" s="5">
        <f>C176^2</f>
        <v>4356</v>
      </c>
      <c r="G176" s="5">
        <f t="shared" ref="G176:I176" si="79">G174-G175</f>
        <v>272</v>
      </c>
      <c r="H176" s="5">
        <f t="shared" si="79"/>
        <v>236</v>
      </c>
      <c r="I176" s="5">
        <f t="shared" si="79"/>
        <v>1200</v>
      </c>
    </row>
    <row r="177">
      <c r="B177" s="9">
        <v>3.0</v>
      </c>
      <c r="C177" s="9">
        <v>72.0</v>
      </c>
      <c r="D177" s="5">
        <f t="shared" si="76"/>
        <v>216</v>
      </c>
      <c r="E177" s="5">
        <f t="shared" ref="E177:F177" si="80">B177^2</f>
        <v>9</v>
      </c>
      <c r="F177" s="5">
        <f t="shared" si="80"/>
        <v>5184</v>
      </c>
      <c r="I177" s="5">
        <f>H176*I176</f>
        <v>283200</v>
      </c>
    </row>
    <row r="178">
      <c r="B178" s="9">
        <v>4.0</v>
      </c>
      <c r="C178" s="9">
        <v>80.0</v>
      </c>
      <c r="D178" s="5">
        <f t="shared" si="76"/>
        <v>320</v>
      </c>
      <c r="E178" s="5">
        <f t="shared" ref="E178:F178" si="81">B178^2</f>
        <v>16</v>
      </c>
      <c r="F178" s="5">
        <f t="shared" si="81"/>
        <v>6400</v>
      </c>
      <c r="I178" s="5">
        <f>SQRT(I177)</f>
        <v>532.1653878</v>
      </c>
    </row>
    <row r="179">
      <c r="B179" s="9">
        <v>2.0</v>
      </c>
      <c r="C179" s="9">
        <v>68.0</v>
      </c>
      <c r="D179" s="5">
        <f t="shared" si="76"/>
        <v>136</v>
      </c>
      <c r="E179" s="5">
        <f t="shared" ref="E179:F179" si="82">B179^2</f>
        <v>4</v>
      </c>
      <c r="F179" s="5">
        <f t="shared" si="82"/>
        <v>4624</v>
      </c>
      <c r="I179" s="87" t="s">
        <v>132</v>
      </c>
      <c r="J179" s="88">
        <f>G176/I178</f>
        <v>0.511119299</v>
      </c>
    </row>
    <row r="180">
      <c r="B180" s="9">
        <v>4.0</v>
      </c>
      <c r="C180" s="9">
        <v>78.0</v>
      </c>
      <c r="D180" s="5">
        <f t="shared" si="76"/>
        <v>312</v>
      </c>
      <c r="E180" s="5">
        <f t="shared" ref="E180:F180" si="83">B180^2</f>
        <v>16</v>
      </c>
      <c r="F180" s="5">
        <f t="shared" si="83"/>
        <v>6084</v>
      </c>
    </row>
    <row r="181">
      <c r="B181" s="5">
        <f t="shared" ref="B181:F181" si="84">SUM(B174:B180)</f>
        <v>18</v>
      </c>
      <c r="C181" s="5">
        <f t="shared" si="84"/>
        <v>506</v>
      </c>
      <c r="D181" s="5">
        <f t="shared" si="84"/>
        <v>1340</v>
      </c>
      <c r="E181" s="5">
        <f t="shared" si="84"/>
        <v>56</v>
      </c>
      <c r="F181" s="5">
        <f t="shared" si="84"/>
        <v>36748</v>
      </c>
    </row>
    <row r="186">
      <c r="A186" s="82" t="s">
        <v>50</v>
      </c>
      <c r="B186" s="83"/>
      <c r="C186" s="83"/>
    </row>
    <row r="187">
      <c r="A187" s="83"/>
      <c r="B187" s="82" t="s">
        <v>147</v>
      </c>
      <c r="C187" s="82" t="s">
        <v>148</v>
      </c>
      <c r="D187" s="3" t="s">
        <v>123</v>
      </c>
      <c r="E187" s="3" t="s">
        <v>114</v>
      </c>
      <c r="F187" s="3" t="s">
        <v>144</v>
      </c>
    </row>
    <row r="188">
      <c r="A188" s="83"/>
      <c r="B188" s="82">
        <v>8.0</v>
      </c>
      <c r="C188" s="82">
        <v>81.0</v>
      </c>
      <c r="D188" s="5">
        <f t="shared" ref="D188:D193" si="87">C188*B188</f>
        <v>648</v>
      </c>
      <c r="E188" s="5">
        <f t="shared" ref="E188:F188" si="85">B188^2</f>
        <v>64</v>
      </c>
      <c r="F188" s="5">
        <f t="shared" si="85"/>
        <v>6561</v>
      </c>
      <c r="G188" s="5">
        <f t="shared" ref="G188:H188" si="86">6*D194</f>
        <v>19080</v>
      </c>
      <c r="H188" s="5">
        <f t="shared" si="86"/>
        <v>1644</v>
      </c>
      <c r="I188" s="5">
        <f>F194*6</f>
        <v>224952</v>
      </c>
    </row>
    <row r="189">
      <c r="A189" s="83"/>
      <c r="B189" s="82">
        <v>8.0</v>
      </c>
      <c r="C189" s="82">
        <v>80.0</v>
      </c>
      <c r="D189" s="5">
        <f t="shared" si="87"/>
        <v>640</v>
      </c>
      <c r="E189" s="5">
        <f t="shared" ref="E189:F189" si="88">B189^2</f>
        <v>64</v>
      </c>
      <c r="F189" s="5">
        <f t="shared" si="88"/>
        <v>6400</v>
      </c>
      <c r="G189" s="5">
        <f>B194*C194</f>
        <v>18880</v>
      </c>
      <c r="H189" s="5">
        <f t="shared" ref="H189:I189" si="89">B194^2</f>
        <v>1600</v>
      </c>
      <c r="I189" s="5">
        <f t="shared" si="89"/>
        <v>222784</v>
      </c>
    </row>
    <row r="190">
      <c r="A190" s="83"/>
      <c r="B190" s="82">
        <v>6.0</v>
      </c>
      <c r="C190" s="82">
        <v>75.0</v>
      </c>
      <c r="D190" s="5">
        <f t="shared" si="87"/>
        <v>450</v>
      </c>
      <c r="E190" s="5">
        <f t="shared" ref="E190:F190" si="90">B190^2</f>
        <v>36</v>
      </c>
      <c r="F190" s="5">
        <f t="shared" si="90"/>
        <v>5625</v>
      </c>
      <c r="G190" s="5">
        <f t="shared" ref="G190:I190" si="91">G188-G189</f>
        <v>200</v>
      </c>
      <c r="H190" s="5">
        <f t="shared" si="91"/>
        <v>44</v>
      </c>
      <c r="I190" s="5">
        <f t="shared" si="91"/>
        <v>2168</v>
      </c>
    </row>
    <row r="191">
      <c r="A191" s="83"/>
      <c r="B191" s="82">
        <v>5.0</v>
      </c>
      <c r="C191" s="82">
        <v>65.0</v>
      </c>
      <c r="D191" s="5">
        <f t="shared" si="87"/>
        <v>325</v>
      </c>
      <c r="E191" s="5">
        <f t="shared" ref="E191:F191" si="92">B191^2</f>
        <v>25</v>
      </c>
      <c r="F191" s="5">
        <f t="shared" si="92"/>
        <v>4225</v>
      </c>
      <c r="I191" s="5">
        <f>H190*I190</f>
        <v>95392</v>
      </c>
    </row>
    <row r="192">
      <c r="A192" s="83"/>
      <c r="B192" s="82">
        <v>7.0</v>
      </c>
      <c r="C192" s="82">
        <v>91.0</v>
      </c>
      <c r="D192" s="5">
        <f t="shared" si="87"/>
        <v>637</v>
      </c>
      <c r="E192" s="5">
        <f t="shared" ref="E192:F192" si="93">B192^2</f>
        <v>49</v>
      </c>
      <c r="F192" s="5">
        <f t="shared" si="93"/>
        <v>8281</v>
      </c>
      <c r="I192" s="5">
        <f>SQRT(I191)</f>
        <v>308.8559535</v>
      </c>
    </row>
    <row r="193">
      <c r="A193" s="83"/>
      <c r="B193" s="82">
        <v>6.0</v>
      </c>
      <c r="C193" s="82">
        <v>80.0</v>
      </c>
      <c r="D193" s="5">
        <f t="shared" si="87"/>
        <v>480</v>
      </c>
      <c r="E193" s="5">
        <f t="shared" ref="E193:F193" si="94">B193^2</f>
        <v>36</v>
      </c>
      <c r="F193" s="5">
        <f t="shared" si="94"/>
        <v>6400</v>
      </c>
      <c r="I193" s="78" t="s">
        <v>132</v>
      </c>
      <c r="J193" s="79">
        <f>G190/I192</f>
        <v>0.6475510598</v>
      </c>
    </row>
    <row r="194">
      <c r="A194" s="83"/>
      <c r="B194" s="83">
        <f t="shared" ref="B194:F194" si="95">SUM(B188:B193)</f>
        <v>40</v>
      </c>
      <c r="C194" s="83">
        <f t="shared" si="95"/>
        <v>472</v>
      </c>
      <c r="D194" s="5">
        <f t="shared" si="95"/>
        <v>3180</v>
      </c>
      <c r="E194" s="5">
        <f t="shared" si="95"/>
        <v>274</v>
      </c>
      <c r="F194" s="5">
        <f t="shared" si="95"/>
        <v>37492</v>
      </c>
    </row>
    <row r="199">
      <c r="A199" s="3" t="s">
        <v>149</v>
      </c>
    </row>
    <row r="200">
      <c r="B200" s="6" t="s">
        <v>150</v>
      </c>
      <c r="C200" s="6" t="s">
        <v>151</v>
      </c>
      <c r="D200" s="3" t="s">
        <v>123</v>
      </c>
      <c r="E200" s="3" t="s">
        <v>114</v>
      </c>
      <c r="F200" s="3" t="s">
        <v>144</v>
      </c>
      <c r="G200" s="5">
        <f t="shared" ref="G200:I200" si="96">10*D211</f>
        <v>2850</v>
      </c>
      <c r="H200" s="5">
        <f t="shared" si="96"/>
        <v>5200</v>
      </c>
      <c r="I200" s="5">
        <f t="shared" si="96"/>
        <v>3740</v>
      </c>
    </row>
    <row r="201">
      <c r="B201" s="6">
        <v>5.0</v>
      </c>
      <c r="C201" s="6">
        <v>5.0</v>
      </c>
      <c r="D201" s="5">
        <f t="shared" ref="D201:D210" si="99">B201*C201</f>
        <v>25</v>
      </c>
      <c r="E201" s="5">
        <f t="shared" ref="E201:F201" si="97">B201^2</f>
        <v>25</v>
      </c>
      <c r="F201" s="5">
        <f t="shared" si="97"/>
        <v>25</v>
      </c>
      <c r="G201" s="5">
        <f>B211*C211</f>
        <v>3584</v>
      </c>
      <c r="H201" s="5">
        <f t="shared" ref="H201:I201" si="98">B211^2</f>
        <v>4096</v>
      </c>
      <c r="I201" s="5">
        <f t="shared" si="98"/>
        <v>3136</v>
      </c>
    </row>
    <row r="202">
      <c r="B202" s="6">
        <v>10.0</v>
      </c>
      <c r="C202" s="6">
        <v>2.0</v>
      </c>
      <c r="D202" s="5">
        <f t="shared" si="99"/>
        <v>20</v>
      </c>
      <c r="E202" s="5">
        <f t="shared" ref="E202:F202" si="100">B202^2</f>
        <v>100</v>
      </c>
      <c r="F202" s="5">
        <f t="shared" si="100"/>
        <v>4</v>
      </c>
      <c r="G202" s="5">
        <f t="shared" ref="G202:I202" si="101">G200-G201</f>
        <v>-734</v>
      </c>
      <c r="H202" s="5">
        <f t="shared" si="101"/>
        <v>1104</v>
      </c>
      <c r="I202" s="5">
        <f t="shared" si="101"/>
        <v>604</v>
      </c>
    </row>
    <row r="203">
      <c r="B203" s="6">
        <v>4.0</v>
      </c>
      <c r="C203" s="6">
        <v>8.0</v>
      </c>
      <c r="D203" s="5">
        <f t="shared" si="99"/>
        <v>32</v>
      </c>
      <c r="E203" s="5">
        <f t="shared" ref="E203:F203" si="102">B203^2</f>
        <v>16</v>
      </c>
      <c r="F203" s="5">
        <f t="shared" si="102"/>
        <v>64</v>
      </c>
      <c r="I203" s="5">
        <f>H202*I202</f>
        <v>666816</v>
      </c>
    </row>
    <row r="204">
      <c r="B204" s="6">
        <v>8.0</v>
      </c>
      <c r="C204" s="6">
        <v>3.0</v>
      </c>
      <c r="D204" s="5">
        <f t="shared" si="99"/>
        <v>24</v>
      </c>
      <c r="E204" s="5">
        <f t="shared" ref="E204:F204" si="103">B204^2</f>
        <v>64</v>
      </c>
      <c r="F204" s="5">
        <f t="shared" si="103"/>
        <v>9</v>
      </c>
      <c r="I204" s="5">
        <f>SQRT(I203)</f>
        <v>816.5880234</v>
      </c>
    </row>
    <row r="205">
      <c r="B205" s="6">
        <v>2.0</v>
      </c>
      <c r="C205" s="6">
        <v>8.0</v>
      </c>
      <c r="D205" s="5">
        <f t="shared" si="99"/>
        <v>16</v>
      </c>
      <c r="E205" s="5">
        <f t="shared" ref="E205:F205" si="104">B205^2</f>
        <v>4</v>
      </c>
      <c r="F205" s="5">
        <f t="shared" si="104"/>
        <v>64</v>
      </c>
      <c r="I205" s="89" t="s">
        <v>132</v>
      </c>
      <c r="J205" s="90">
        <f>G202/I204</f>
        <v>-0.8988620687</v>
      </c>
    </row>
    <row r="206">
      <c r="B206" s="6">
        <v>7.0</v>
      </c>
      <c r="C206" s="6">
        <v>5.0</v>
      </c>
      <c r="D206" s="5">
        <f t="shared" si="99"/>
        <v>35</v>
      </c>
      <c r="E206" s="5">
        <f t="shared" ref="E206:F206" si="105">B206^2</f>
        <v>49</v>
      </c>
      <c r="F206" s="5">
        <f t="shared" si="105"/>
        <v>25</v>
      </c>
    </row>
    <row r="207">
      <c r="B207" s="6">
        <v>9.0</v>
      </c>
      <c r="C207" s="6">
        <v>5.0</v>
      </c>
      <c r="D207" s="5">
        <f t="shared" si="99"/>
        <v>45</v>
      </c>
      <c r="E207" s="5">
        <f t="shared" ref="E207:F207" si="106">B207^2</f>
        <v>81</v>
      </c>
      <c r="F207" s="5">
        <f t="shared" si="106"/>
        <v>25</v>
      </c>
    </row>
    <row r="208">
      <c r="B208" s="6">
        <v>6.0</v>
      </c>
      <c r="C208" s="6">
        <v>7.0</v>
      </c>
      <c r="D208" s="5">
        <f t="shared" si="99"/>
        <v>42</v>
      </c>
      <c r="E208" s="5">
        <f t="shared" ref="E208:F208" si="107">B208^2</f>
        <v>36</v>
      </c>
      <c r="F208" s="5">
        <f t="shared" si="107"/>
        <v>49</v>
      </c>
    </row>
    <row r="209">
      <c r="B209" s="6">
        <v>1.0</v>
      </c>
      <c r="C209" s="6">
        <v>10.0</v>
      </c>
      <c r="D209" s="5">
        <f t="shared" si="99"/>
        <v>10</v>
      </c>
      <c r="E209" s="5">
        <f t="shared" ref="E209:F209" si="108">B209^2</f>
        <v>1</v>
      </c>
      <c r="F209" s="5">
        <f t="shared" si="108"/>
        <v>100</v>
      </c>
    </row>
    <row r="210">
      <c r="B210" s="6">
        <v>12.0</v>
      </c>
      <c r="C210" s="6">
        <v>3.0</v>
      </c>
      <c r="D210" s="5">
        <f t="shared" si="99"/>
        <v>36</v>
      </c>
      <c r="E210" s="5">
        <f t="shared" ref="E210:F210" si="109">B210^2</f>
        <v>144</v>
      </c>
      <c r="F210" s="5">
        <f t="shared" si="109"/>
        <v>9</v>
      </c>
    </row>
    <row r="211">
      <c r="B211" s="5">
        <f t="shared" ref="B211:F211" si="110">SUM(B201:B210)</f>
        <v>64</v>
      </c>
      <c r="C211" s="5">
        <f t="shared" si="110"/>
        <v>56</v>
      </c>
      <c r="D211" s="5">
        <f t="shared" si="110"/>
        <v>285</v>
      </c>
      <c r="E211" s="5">
        <f t="shared" si="110"/>
        <v>520</v>
      </c>
      <c r="F211" s="5">
        <f t="shared" si="110"/>
        <v>374</v>
      </c>
    </row>
    <row r="214">
      <c r="A214" s="3" t="s">
        <v>152</v>
      </c>
    </row>
    <row r="215">
      <c r="B215" s="82" t="s">
        <v>153</v>
      </c>
      <c r="C215" s="82" t="s">
        <v>154</v>
      </c>
      <c r="D215" s="3" t="s">
        <v>123</v>
      </c>
      <c r="E215" s="3" t="s">
        <v>114</v>
      </c>
      <c r="F215" s="3" t="s">
        <v>144</v>
      </c>
    </row>
    <row r="216">
      <c r="B216" s="82">
        <v>3.0</v>
      </c>
      <c r="C216" s="82">
        <v>3.5</v>
      </c>
      <c r="D216" s="5">
        <f t="shared" ref="D216:D226" si="113">C216*B216</f>
        <v>10.5</v>
      </c>
      <c r="E216" s="5">
        <f t="shared" ref="E216:F216" si="111">B216^2</f>
        <v>9</v>
      </c>
      <c r="F216" s="5">
        <f t="shared" si="111"/>
        <v>12.25</v>
      </c>
      <c r="G216" s="5">
        <f t="shared" ref="G216:I216" si="112">11*D227</f>
        <v>5109.5</v>
      </c>
      <c r="H216" s="5">
        <f t="shared" si="112"/>
        <v>5566</v>
      </c>
      <c r="I216" s="5">
        <f t="shared" si="112"/>
        <v>5544</v>
      </c>
    </row>
    <row r="217">
      <c r="B217" s="82">
        <v>1.0</v>
      </c>
      <c r="C217" s="82">
        <v>1.5</v>
      </c>
      <c r="D217" s="5">
        <f t="shared" si="113"/>
        <v>1.5</v>
      </c>
      <c r="E217" s="5">
        <f>1</f>
        <v>1</v>
      </c>
      <c r="F217" s="5">
        <f>C217^2</f>
        <v>2.25</v>
      </c>
      <c r="G217" s="5">
        <f>C227*B227</f>
        <v>4356</v>
      </c>
      <c r="H217" s="5">
        <f t="shared" ref="H217:I217" si="114">B227^2</f>
        <v>4356</v>
      </c>
      <c r="I217" s="5">
        <f t="shared" si="114"/>
        <v>4356</v>
      </c>
    </row>
    <row r="218">
      <c r="B218" s="82">
        <v>5.0</v>
      </c>
      <c r="C218" s="82">
        <v>10.5</v>
      </c>
      <c r="D218" s="5">
        <f t="shared" si="113"/>
        <v>52.5</v>
      </c>
      <c r="E218" s="5">
        <f t="shared" ref="E218:F218" si="115">B218^2</f>
        <v>25</v>
      </c>
      <c r="F218" s="5">
        <f t="shared" si="115"/>
        <v>110.25</v>
      </c>
      <c r="G218" s="5">
        <f t="shared" ref="G218:I218" si="116">G216-G217</f>
        <v>753.5</v>
      </c>
      <c r="H218" s="5">
        <f t="shared" si="116"/>
        <v>1210</v>
      </c>
      <c r="I218" s="5">
        <f t="shared" si="116"/>
        <v>1188</v>
      </c>
    </row>
    <row r="219">
      <c r="B219" s="82">
        <v>11.0</v>
      </c>
      <c r="C219" s="82">
        <v>6.0</v>
      </c>
      <c r="D219" s="5">
        <f t="shared" si="113"/>
        <v>66</v>
      </c>
      <c r="E219" s="5">
        <f t="shared" ref="E219:F219" si="117">B219^2</f>
        <v>121</v>
      </c>
      <c r="F219" s="5">
        <f t="shared" si="117"/>
        <v>36</v>
      </c>
      <c r="I219" s="5">
        <f>H218*I218</f>
        <v>1437480</v>
      </c>
    </row>
    <row r="220">
      <c r="B220" s="82">
        <v>8.0</v>
      </c>
      <c r="C220" s="82">
        <v>9.0</v>
      </c>
      <c r="D220" s="5">
        <f t="shared" si="113"/>
        <v>72</v>
      </c>
      <c r="E220" s="5">
        <f t="shared" ref="E220:F220" si="118">B220^2</f>
        <v>64</v>
      </c>
      <c r="F220" s="5">
        <f t="shared" si="118"/>
        <v>81</v>
      </c>
      <c r="I220" s="5">
        <f>SQRT(I219)</f>
        <v>1198.94954</v>
      </c>
    </row>
    <row r="221">
      <c r="B221" s="82">
        <v>7.0</v>
      </c>
      <c r="C221" s="82">
        <v>3.5</v>
      </c>
      <c r="D221" s="5">
        <f t="shared" si="113"/>
        <v>24.5</v>
      </c>
      <c r="E221" s="5">
        <f t="shared" ref="E221:F221" si="119">B221^2</f>
        <v>49</v>
      </c>
      <c r="F221" s="5">
        <f t="shared" si="119"/>
        <v>12.25</v>
      </c>
      <c r="I221" s="1" t="s">
        <v>132</v>
      </c>
      <c r="J221" s="91">
        <f>G218/I220</f>
        <v>0.6284668159</v>
      </c>
    </row>
    <row r="222">
      <c r="B222" s="82">
        <v>10.0</v>
      </c>
      <c r="C222" s="82">
        <v>7.5</v>
      </c>
      <c r="D222" s="5">
        <f t="shared" si="113"/>
        <v>75</v>
      </c>
      <c r="E222" s="5">
        <f t="shared" ref="E222:F222" si="120">B222^2</f>
        <v>100</v>
      </c>
      <c r="F222" s="5">
        <f t="shared" si="120"/>
        <v>56.25</v>
      </c>
    </row>
    <row r="223">
      <c r="B223" s="82">
        <v>6.0</v>
      </c>
      <c r="C223" s="82">
        <v>7.5</v>
      </c>
      <c r="D223" s="5">
        <f t="shared" si="113"/>
        <v>45</v>
      </c>
      <c r="E223" s="5">
        <f t="shared" ref="E223:F223" si="121">B223^2</f>
        <v>36</v>
      </c>
      <c r="F223" s="5">
        <f t="shared" si="121"/>
        <v>56.25</v>
      </c>
    </row>
    <row r="224">
      <c r="B224" s="82">
        <v>2.0</v>
      </c>
      <c r="C224" s="82">
        <v>1.5</v>
      </c>
      <c r="D224" s="5">
        <f t="shared" si="113"/>
        <v>3</v>
      </c>
      <c r="E224" s="5">
        <f t="shared" ref="E224:F224" si="122">B224^2</f>
        <v>4</v>
      </c>
      <c r="F224" s="5">
        <f t="shared" si="122"/>
        <v>2.25</v>
      </c>
    </row>
    <row r="225">
      <c r="B225" s="82">
        <v>4.0</v>
      </c>
      <c r="C225" s="82">
        <v>5.0</v>
      </c>
      <c r="D225" s="5">
        <f t="shared" si="113"/>
        <v>20</v>
      </c>
      <c r="E225" s="5">
        <f t="shared" ref="E225:F225" si="123">B225^2</f>
        <v>16</v>
      </c>
      <c r="F225" s="5">
        <f t="shared" si="123"/>
        <v>25</v>
      </c>
    </row>
    <row r="226">
      <c r="B226" s="82">
        <v>9.0</v>
      </c>
      <c r="C226" s="82">
        <v>10.5</v>
      </c>
      <c r="D226" s="5">
        <f t="shared" si="113"/>
        <v>94.5</v>
      </c>
      <c r="E226" s="5">
        <f t="shared" ref="E226:F226" si="124">B226^2</f>
        <v>81</v>
      </c>
      <c r="F226" s="5">
        <f t="shared" si="124"/>
        <v>110.25</v>
      </c>
    </row>
    <row r="227">
      <c r="B227" s="5">
        <f t="shared" ref="B227:F227" si="125">SUM(B216:B226)</f>
        <v>66</v>
      </c>
      <c r="C227" s="5">
        <f t="shared" si="125"/>
        <v>66</v>
      </c>
      <c r="D227" s="5">
        <f t="shared" si="125"/>
        <v>464.5</v>
      </c>
      <c r="E227" s="5">
        <f t="shared" si="125"/>
        <v>506</v>
      </c>
      <c r="F227" s="5">
        <f t="shared" si="125"/>
        <v>504</v>
      </c>
    </row>
    <row r="230">
      <c r="A230" s="3" t="s">
        <v>155</v>
      </c>
    </row>
    <row r="231">
      <c r="B231" s="1" t="s">
        <v>156</v>
      </c>
      <c r="C231" s="1" t="s">
        <v>157</v>
      </c>
      <c r="D231" s="3" t="s">
        <v>123</v>
      </c>
      <c r="E231" s="3" t="s">
        <v>114</v>
      </c>
      <c r="F231" s="3" t="s">
        <v>144</v>
      </c>
    </row>
    <row r="232">
      <c r="B232" s="1">
        <v>80.0</v>
      </c>
      <c r="C232" s="1">
        <v>5.0</v>
      </c>
      <c r="D232" s="5">
        <f t="shared" ref="D232:D246" si="128">C232*B232</f>
        <v>400</v>
      </c>
      <c r="E232" s="5">
        <f t="shared" ref="E232:F232" si="126">B232^2</f>
        <v>6400</v>
      </c>
      <c r="F232" s="5">
        <f t="shared" si="126"/>
        <v>25</v>
      </c>
      <c r="H232" s="5">
        <f t="shared" ref="H232:J232" si="127">15*D247</f>
        <v>300510</v>
      </c>
      <c r="I232" s="5">
        <f t="shared" si="127"/>
        <v>18249135</v>
      </c>
      <c r="J232" s="5">
        <f t="shared" si="127"/>
        <v>1270215</v>
      </c>
    </row>
    <row r="233">
      <c r="B233" s="1">
        <v>78.0</v>
      </c>
      <c r="C233" s="1">
        <v>23.0</v>
      </c>
      <c r="D233" s="5">
        <f t="shared" si="128"/>
        <v>1794</v>
      </c>
      <c r="E233" s="5">
        <f t="shared" ref="E233:F233" si="129">B233^2</f>
        <v>6084</v>
      </c>
      <c r="F233" s="5">
        <f t="shared" si="129"/>
        <v>529</v>
      </c>
      <c r="H233" s="5">
        <f>C247*B247</f>
        <v>320973</v>
      </c>
      <c r="I233" s="5">
        <f t="shared" ref="I233:J233" si="130">B247^2</f>
        <v>1216609</v>
      </c>
      <c r="J233" s="5">
        <f t="shared" si="130"/>
        <v>84681</v>
      </c>
    </row>
    <row r="234">
      <c r="B234" s="1">
        <v>60.0</v>
      </c>
      <c r="C234" s="1">
        <v>25.0</v>
      </c>
      <c r="D234" s="5">
        <f t="shared" si="128"/>
        <v>1500</v>
      </c>
      <c r="E234" s="5">
        <f t="shared" ref="E234:F234" si="131">B234^2</f>
        <v>3600</v>
      </c>
      <c r="F234" s="5">
        <f t="shared" si="131"/>
        <v>625</v>
      </c>
      <c r="H234" s="5">
        <f t="shared" ref="H234:J234" si="132">H232-H233</f>
        <v>-20463</v>
      </c>
      <c r="I234" s="5">
        <f t="shared" si="132"/>
        <v>17032526</v>
      </c>
      <c r="J234" s="5">
        <f t="shared" si="132"/>
        <v>1185534</v>
      </c>
    </row>
    <row r="235">
      <c r="B235" s="1">
        <v>53.0</v>
      </c>
      <c r="C235" s="1">
        <v>48.0</v>
      </c>
      <c r="D235" s="5">
        <f t="shared" si="128"/>
        <v>2544</v>
      </c>
      <c r="E235" s="5">
        <f t="shared" ref="E235:F235" si="133">B235^2</f>
        <v>2809</v>
      </c>
      <c r="F235" s="5">
        <f t="shared" si="133"/>
        <v>2304</v>
      </c>
      <c r="J235" s="5">
        <f>I234*J234</f>
        <v>20192638678884</v>
      </c>
    </row>
    <row r="236">
      <c r="B236" s="1">
        <v>85.0</v>
      </c>
      <c r="C236" s="1">
        <v>17.0</v>
      </c>
      <c r="D236" s="5">
        <f t="shared" si="128"/>
        <v>1445</v>
      </c>
      <c r="E236" s="5">
        <f t="shared" ref="E236:F236" si="134">B236^2</f>
        <v>7225</v>
      </c>
      <c r="F236" s="5">
        <f t="shared" si="134"/>
        <v>289</v>
      </c>
      <c r="J236" s="5">
        <f>SQRT(J235)</f>
        <v>4493622</v>
      </c>
    </row>
    <row r="237">
      <c r="B237" s="1">
        <v>84.0</v>
      </c>
      <c r="C237" s="1">
        <v>8.0</v>
      </c>
      <c r="D237" s="5">
        <f t="shared" si="128"/>
        <v>672</v>
      </c>
      <c r="E237" s="5">
        <f t="shared" ref="E237:F237" si="135">B237^2</f>
        <v>7056</v>
      </c>
      <c r="F237" s="5">
        <f t="shared" si="135"/>
        <v>64</v>
      </c>
      <c r="J237" s="92" t="s">
        <v>132</v>
      </c>
      <c r="K237" s="93">
        <f>H234/J236</f>
        <v>-0.004553787568</v>
      </c>
    </row>
    <row r="238">
      <c r="B238" s="1">
        <v>73.0</v>
      </c>
      <c r="C238" s="1">
        <v>4.0</v>
      </c>
      <c r="D238" s="5">
        <f t="shared" si="128"/>
        <v>292</v>
      </c>
      <c r="E238" s="5">
        <f t="shared" ref="E238:F238" si="136">B238^2</f>
        <v>5329</v>
      </c>
      <c r="F238" s="5">
        <f t="shared" si="136"/>
        <v>16</v>
      </c>
    </row>
    <row r="239">
      <c r="B239" s="1">
        <v>79.0</v>
      </c>
      <c r="C239" s="1">
        <v>26.0</v>
      </c>
      <c r="D239" s="5">
        <f t="shared" si="128"/>
        <v>2054</v>
      </c>
      <c r="E239" s="5">
        <f t="shared" ref="E239:F239" si="137">B239^2</f>
        <v>6241</v>
      </c>
      <c r="F239" s="5">
        <f t="shared" si="137"/>
        <v>676</v>
      </c>
    </row>
    <row r="240">
      <c r="B240" s="1">
        <v>81.0</v>
      </c>
      <c r="C240" s="1">
        <v>11.0</v>
      </c>
      <c r="D240" s="5">
        <f t="shared" si="128"/>
        <v>891</v>
      </c>
      <c r="E240" s="5">
        <f t="shared" ref="E240:F240" si="138">B240^2</f>
        <v>6561</v>
      </c>
      <c r="F240" s="5">
        <f t="shared" si="138"/>
        <v>121</v>
      </c>
    </row>
    <row r="241">
      <c r="B241" s="1">
        <v>75.0</v>
      </c>
      <c r="C241" s="1">
        <v>19.0</v>
      </c>
      <c r="D241" s="5">
        <f t="shared" si="128"/>
        <v>1425</v>
      </c>
      <c r="E241" s="5">
        <f t="shared" ref="E241:F241" si="139">B241^2</f>
        <v>5625</v>
      </c>
      <c r="F241" s="5">
        <f t="shared" si="139"/>
        <v>361</v>
      </c>
    </row>
    <row r="242">
      <c r="B242" s="1">
        <v>68.0</v>
      </c>
      <c r="C242" s="1">
        <v>14.0</v>
      </c>
      <c r="D242" s="5">
        <f t="shared" si="128"/>
        <v>952</v>
      </c>
      <c r="E242" s="5">
        <f t="shared" ref="E242:F242" si="140">B242^2</f>
        <v>4624</v>
      </c>
      <c r="F242" s="5">
        <f t="shared" si="140"/>
        <v>196</v>
      </c>
    </row>
    <row r="243">
      <c r="B243" s="1">
        <v>72.0</v>
      </c>
      <c r="C243" s="1">
        <v>35.0</v>
      </c>
      <c r="D243" s="5">
        <f t="shared" si="128"/>
        <v>2520</v>
      </c>
      <c r="E243" s="5">
        <f t="shared" ref="E243:F243" si="141">B243^2</f>
        <v>5184</v>
      </c>
      <c r="F243" s="5">
        <f t="shared" si="141"/>
        <v>1225</v>
      </c>
    </row>
    <row r="244">
      <c r="B244" s="1">
        <v>58.0</v>
      </c>
      <c r="C244" s="1">
        <v>29.0</v>
      </c>
      <c r="D244" s="5">
        <f t="shared" si="128"/>
        <v>1682</v>
      </c>
      <c r="E244" s="5">
        <f t="shared" ref="E244:F244" si="142">B244^2</f>
        <v>3364</v>
      </c>
      <c r="F244" s="5">
        <f t="shared" si="142"/>
        <v>841</v>
      </c>
    </row>
    <row r="245">
      <c r="B245" s="1">
        <v>92.0</v>
      </c>
      <c r="C245" s="1">
        <v>4.0</v>
      </c>
      <c r="D245" s="5">
        <f t="shared" si="128"/>
        <v>368</v>
      </c>
      <c r="E245" s="5">
        <f t="shared" ref="E245:F245" si="143">B245^2</f>
        <v>8464</v>
      </c>
      <c r="F245" s="5">
        <f t="shared" si="143"/>
        <v>16</v>
      </c>
    </row>
    <row r="246">
      <c r="B246" s="1">
        <v>65.0</v>
      </c>
      <c r="C246" s="1">
        <v>23.0</v>
      </c>
      <c r="D246" s="5">
        <f t="shared" si="128"/>
        <v>1495</v>
      </c>
      <c r="E246" s="5">
        <f t="shared" ref="E246:F246" si="144">B246^2</f>
        <v>4225</v>
      </c>
      <c r="F246" s="5">
        <f t="shared" si="144"/>
        <v>529</v>
      </c>
    </row>
    <row r="247">
      <c r="B247" s="5">
        <f t="shared" ref="B247:D247" si="145">SUM(B232:B246)</f>
        <v>1103</v>
      </c>
      <c r="C247" s="5">
        <f t="shared" si="145"/>
        <v>291</v>
      </c>
      <c r="D247" s="5">
        <f t="shared" si="145"/>
        <v>20034</v>
      </c>
      <c r="E247" s="5">
        <f t="shared" ref="E247:F247" si="146">B247^2</f>
        <v>1216609</v>
      </c>
      <c r="F247" s="5">
        <f t="shared" si="146"/>
        <v>84681</v>
      </c>
    </row>
    <row r="251">
      <c r="A251" s="3" t="s">
        <v>158</v>
      </c>
      <c r="H251" s="5">
        <f t="shared" ref="H251:J251" si="147">6*D259</f>
        <v>1116</v>
      </c>
      <c r="I251" s="5">
        <f t="shared" si="147"/>
        <v>5664</v>
      </c>
      <c r="J251" s="5">
        <f t="shared" si="147"/>
        <v>282</v>
      </c>
    </row>
    <row r="252">
      <c r="B252" s="76" t="s">
        <v>159</v>
      </c>
      <c r="C252" s="76" t="s">
        <v>19</v>
      </c>
      <c r="D252" s="76" t="s">
        <v>123</v>
      </c>
      <c r="E252" s="76" t="s">
        <v>114</v>
      </c>
      <c r="F252" s="76" t="s">
        <v>144</v>
      </c>
      <c r="H252" s="5">
        <f>C259*B259</f>
        <v>1050</v>
      </c>
      <c r="I252" s="5">
        <f t="shared" ref="I252:J252" si="148">B259^2</f>
        <v>4900</v>
      </c>
      <c r="J252" s="5">
        <f t="shared" si="148"/>
        <v>225</v>
      </c>
    </row>
    <row r="253">
      <c r="B253" s="76">
        <v>3.0</v>
      </c>
      <c r="C253" s="76">
        <v>1.0</v>
      </c>
      <c r="D253" s="77">
        <f t="shared" ref="D253:D258" si="151">C253*B253</f>
        <v>3</v>
      </c>
      <c r="E253" s="77">
        <f t="shared" ref="E253:F253" si="149">B253^2</f>
        <v>9</v>
      </c>
      <c r="F253" s="77">
        <f t="shared" si="149"/>
        <v>1</v>
      </c>
      <c r="H253" s="5">
        <f t="shared" ref="H253:J253" si="150">H251-H252</f>
        <v>66</v>
      </c>
      <c r="I253" s="5">
        <f t="shared" si="150"/>
        <v>764</v>
      </c>
      <c r="J253" s="5">
        <f t="shared" si="150"/>
        <v>57</v>
      </c>
    </row>
    <row r="254">
      <c r="B254" s="76">
        <v>9.0</v>
      </c>
      <c r="C254" s="76">
        <v>3.0</v>
      </c>
      <c r="D254" s="77">
        <f t="shared" si="151"/>
        <v>27</v>
      </c>
      <c r="E254" s="77">
        <f t="shared" ref="E254:F254" si="152">B254^2</f>
        <v>81</v>
      </c>
      <c r="F254" s="77">
        <f t="shared" si="152"/>
        <v>9</v>
      </c>
      <c r="J254" s="5">
        <f>I253*J253</f>
        <v>43548</v>
      </c>
    </row>
    <row r="255">
      <c r="B255" s="76">
        <v>12.0</v>
      </c>
      <c r="C255" s="76">
        <v>4.0</v>
      </c>
      <c r="D255" s="77">
        <f t="shared" si="151"/>
        <v>48</v>
      </c>
      <c r="E255" s="77">
        <f t="shared" ref="E255:F255" si="153">B255^2</f>
        <v>144</v>
      </c>
      <c r="F255" s="77">
        <f t="shared" si="153"/>
        <v>16</v>
      </c>
      <c r="J255" s="5">
        <f>SQRT(J254)</f>
        <v>208.6815756</v>
      </c>
    </row>
    <row r="256">
      <c r="B256" s="76">
        <v>14.0</v>
      </c>
      <c r="C256" s="76">
        <v>1.0</v>
      </c>
      <c r="D256" s="77">
        <f t="shared" si="151"/>
        <v>14</v>
      </c>
      <c r="E256" s="77">
        <f t="shared" ref="E256:F256" si="154">B256^2</f>
        <v>196</v>
      </c>
      <c r="F256" s="77">
        <f t="shared" si="154"/>
        <v>1</v>
      </c>
      <c r="J256" s="84" t="s">
        <v>132</v>
      </c>
      <c r="K256" s="85">
        <f>H253/J255</f>
        <v>0.3162713326</v>
      </c>
    </row>
    <row r="257">
      <c r="B257" s="76">
        <v>15.0</v>
      </c>
      <c r="C257" s="76">
        <v>4.0</v>
      </c>
      <c r="D257" s="77">
        <f t="shared" si="151"/>
        <v>60</v>
      </c>
      <c r="E257" s="77">
        <f t="shared" ref="E257:F257" si="155">B257^2</f>
        <v>225</v>
      </c>
      <c r="F257" s="77">
        <f t="shared" si="155"/>
        <v>16</v>
      </c>
    </row>
    <row r="258">
      <c r="B258" s="76">
        <v>17.0</v>
      </c>
      <c r="C258" s="76">
        <v>2.0</v>
      </c>
      <c r="D258" s="77">
        <f t="shared" si="151"/>
        <v>34</v>
      </c>
      <c r="E258" s="77">
        <f t="shared" ref="E258:F258" si="156">B258^2</f>
        <v>289</v>
      </c>
      <c r="F258" s="77">
        <f t="shared" si="156"/>
        <v>4</v>
      </c>
    </row>
    <row r="259">
      <c r="B259" s="5">
        <f t="shared" ref="B259:F259" si="157">SUM(B253:B258)</f>
        <v>70</v>
      </c>
      <c r="C259" s="5">
        <f t="shared" si="157"/>
        <v>15</v>
      </c>
      <c r="D259" s="5">
        <f t="shared" si="157"/>
        <v>186</v>
      </c>
      <c r="E259" s="5">
        <f t="shared" si="157"/>
        <v>944</v>
      </c>
      <c r="F259" s="5">
        <f t="shared" si="157"/>
        <v>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53</v>
      </c>
    </row>
    <row r="2">
      <c r="B2" s="1" t="s">
        <v>160</v>
      </c>
      <c r="C2" s="1" t="s">
        <v>161</v>
      </c>
    </row>
    <row r="3">
      <c r="B3" s="1">
        <v>8.0</v>
      </c>
      <c r="C3" s="1">
        <v>101.0</v>
      </c>
    </row>
    <row r="4">
      <c r="B4" s="1">
        <v>7.0</v>
      </c>
      <c r="C4" s="1">
        <v>98.0</v>
      </c>
    </row>
    <row r="5">
      <c r="B5" s="1">
        <v>11.0</v>
      </c>
      <c r="C5" s="1">
        <v>96.0</v>
      </c>
      <c r="F5" s="3" t="s">
        <v>162</v>
      </c>
    </row>
    <row r="6">
      <c r="B6" s="1">
        <v>10.0</v>
      </c>
      <c r="C6" s="1">
        <v>105.0</v>
      </c>
      <c r="G6" s="3" t="s">
        <v>163</v>
      </c>
    </row>
    <row r="7">
      <c r="B7" s="1">
        <v>19.0</v>
      </c>
      <c r="C7" s="1">
        <v>110.0</v>
      </c>
    </row>
    <row r="8">
      <c r="B8" s="1">
        <v>14.0</v>
      </c>
      <c r="C8" s="1">
        <v>97.0</v>
      </c>
    </row>
    <row r="9">
      <c r="B9" s="1">
        <v>6.0</v>
      </c>
      <c r="C9" s="1">
        <v>11.0</v>
      </c>
    </row>
    <row r="10">
      <c r="B10" s="1">
        <v>13.0</v>
      </c>
      <c r="C10" s="1">
        <v>50.0</v>
      </c>
    </row>
    <row r="14">
      <c r="A14" s="3" t="s">
        <v>131</v>
      </c>
    </row>
    <row r="15">
      <c r="B15" s="1" t="s">
        <v>160</v>
      </c>
      <c r="C15" s="1" t="s">
        <v>161</v>
      </c>
      <c r="D15" s="3" t="s">
        <v>164</v>
      </c>
      <c r="E15" s="3" t="s">
        <v>165</v>
      </c>
      <c r="F15" s="3" t="s">
        <v>166</v>
      </c>
      <c r="G15" s="3" t="s">
        <v>167</v>
      </c>
    </row>
    <row r="16">
      <c r="B16" s="1">
        <v>8.0</v>
      </c>
      <c r="C16" s="1">
        <v>101.0</v>
      </c>
      <c r="D16" s="3">
        <v>6.0</v>
      </c>
      <c r="E16" s="3">
        <v>3.0</v>
      </c>
      <c r="F16" s="5">
        <f t="shared" ref="F16:F23" si="1">D16-E16</f>
        <v>3</v>
      </c>
      <c r="G16" s="5">
        <f t="shared" ref="G16:G23" si="2">F16^2</f>
        <v>9</v>
      </c>
      <c r="I16" s="5">
        <f>6*G24</f>
        <v>336</v>
      </c>
    </row>
    <row r="17">
      <c r="B17" s="1">
        <v>7.0</v>
      </c>
      <c r="C17" s="1">
        <v>98.0</v>
      </c>
      <c r="D17" s="3">
        <v>7.0</v>
      </c>
      <c r="E17" s="3">
        <v>4.0</v>
      </c>
      <c r="F17" s="5">
        <f t="shared" si="1"/>
        <v>3</v>
      </c>
      <c r="G17" s="5">
        <f t="shared" si="2"/>
        <v>9</v>
      </c>
      <c r="I17" s="5">
        <f>8*(8^2-1)</f>
        <v>504</v>
      </c>
    </row>
    <row r="18">
      <c r="B18" s="1">
        <v>11.0</v>
      </c>
      <c r="C18" s="1">
        <v>96.0</v>
      </c>
      <c r="D18" s="3">
        <v>4.0</v>
      </c>
      <c r="E18" s="3">
        <v>6.0</v>
      </c>
      <c r="F18" s="5">
        <f t="shared" si="1"/>
        <v>-2</v>
      </c>
      <c r="G18" s="5">
        <f t="shared" si="2"/>
        <v>4</v>
      </c>
      <c r="I18" s="5">
        <f>I16/I17</f>
        <v>0.6666666667</v>
      </c>
    </row>
    <row r="19">
      <c r="B19" s="1">
        <v>10.0</v>
      </c>
      <c r="C19" s="1">
        <v>105.0</v>
      </c>
      <c r="D19" s="3">
        <v>5.0</v>
      </c>
      <c r="E19" s="3">
        <v>2.0</v>
      </c>
      <c r="F19" s="5">
        <f t="shared" si="1"/>
        <v>3</v>
      </c>
      <c r="G19" s="5">
        <f t="shared" si="2"/>
        <v>9</v>
      </c>
      <c r="H19" s="94" t="s">
        <v>168</v>
      </c>
      <c r="I19" s="95">
        <f>1-I18</f>
        <v>0.3333333333</v>
      </c>
    </row>
    <row r="20">
      <c r="B20" s="1">
        <v>19.0</v>
      </c>
      <c r="C20" s="1">
        <v>110.0</v>
      </c>
      <c r="D20" s="3">
        <v>1.0</v>
      </c>
      <c r="E20" s="3">
        <v>1.0</v>
      </c>
      <c r="F20" s="5">
        <f t="shared" si="1"/>
        <v>0</v>
      </c>
      <c r="G20" s="5">
        <f t="shared" si="2"/>
        <v>0</v>
      </c>
    </row>
    <row r="21">
      <c r="B21" s="1">
        <v>14.0</v>
      </c>
      <c r="C21" s="1">
        <v>97.0</v>
      </c>
      <c r="D21" s="3">
        <v>2.0</v>
      </c>
      <c r="E21" s="3">
        <v>5.0</v>
      </c>
      <c r="F21" s="5">
        <f t="shared" si="1"/>
        <v>-3</v>
      </c>
      <c r="G21" s="5">
        <f t="shared" si="2"/>
        <v>9</v>
      </c>
    </row>
    <row r="22">
      <c r="B22" s="1">
        <v>6.0</v>
      </c>
      <c r="C22" s="1">
        <v>11.0</v>
      </c>
      <c r="D22" s="3">
        <v>8.0</v>
      </c>
      <c r="E22" s="3">
        <v>8.0</v>
      </c>
      <c r="F22" s="5">
        <f t="shared" si="1"/>
        <v>0</v>
      </c>
      <c r="G22" s="5">
        <f t="shared" si="2"/>
        <v>0</v>
      </c>
    </row>
    <row r="23">
      <c r="B23" s="1">
        <v>13.0</v>
      </c>
      <c r="C23" s="1">
        <v>50.0</v>
      </c>
      <c r="D23" s="3">
        <v>3.0</v>
      </c>
      <c r="E23" s="3">
        <v>7.0</v>
      </c>
      <c r="F23" s="5">
        <f t="shared" si="1"/>
        <v>-4</v>
      </c>
      <c r="G23" s="5">
        <f t="shared" si="2"/>
        <v>16</v>
      </c>
    </row>
    <row r="24">
      <c r="B24" s="5">
        <f t="shared" ref="B24:G24" si="3">SUM(B16:B23)</f>
        <v>88</v>
      </c>
      <c r="C24" s="5">
        <f t="shared" si="3"/>
        <v>668</v>
      </c>
      <c r="D24" s="5">
        <f t="shared" si="3"/>
        <v>36</v>
      </c>
      <c r="E24" s="5">
        <f t="shared" si="3"/>
        <v>36</v>
      </c>
      <c r="F24" s="5">
        <f t="shared" si="3"/>
        <v>0</v>
      </c>
      <c r="G24" s="5">
        <f t="shared" si="3"/>
        <v>56</v>
      </c>
    </row>
    <row r="28">
      <c r="A28" s="3" t="s">
        <v>18</v>
      </c>
      <c r="B28" s="76" t="s">
        <v>159</v>
      </c>
      <c r="C28" s="76" t="s">
        <v>19</v>
      </c>
      <c r="D28" s="3" t="s">
        <v>164</v>
      </c>
      <c r="E28" s="3" t="s">
        <v>165</v>
      </c>
      <c r="F28" s="3" t="s">
        <v>166</v>
      </c>
      <c r="G28" s="3" t="s">
        <v>169</v>
      </c>
    </row>
    <row r="29">
      <c r="B29" s="76">
        <v>3.0</v>
      </c>
      <c r="C29" s="76">
        <v>0.0</v>
      </c>
      <c r="D29" s="3">
        <v>6.0</v>
      </c>
      <c r="E29" s="3">
        <v>6.0</v>
      </c>
      <c r="F29" s="5">
        <f t="shared" ref="F29:F35" si="4">D29-E29</f>
        <v>0</v>
      </c>
      <c r="G29" s="5">
        <f t="shared" ref="G29:G34" si="5">F29^2</f>
        <v>0</v>
      </c>
    </row>
    <row r="30">
      <c r="B30" s="76">
        <v>9.0</v>
      </c>
      <c r="C30" s="76">
        <v>3.0</v>
      </c>
      <c r="D30" s="3">
        <v>5.0</v>
      </c>
      <c r="E30" s="3">
        <v>3.0</v>
      </c>
      <c r="F30" s="5">
        <f t="shared" si="4"/>
        <v>2</v>
      </c>
      <c r="G30" s="5">
        <f t="shared" si="5"/>
        <v>4</v>
      </c>
      <c r="I30" s="5">
        <f>6*G35</f>
        <v>132</v>
      </c>
    </row>
    <row r="31">
      <c r="B31" s="76">
        <v>12.0</v>
      </c>
      <c r="C31" s="76">
        <v>4.0</v>
      </c>
      <c r="D31" s="3">
        <v>4.0</v>
      </c>
      <c r="E31" s="3">
        <v>2.0</v>
      </c>
      <c r="F31" s="5">
        <f t="shared" si="4"/>
        <v>2</v>
      </c>
      <c r="G31" s="5">
        <f t="shared" si="5"/>
        <v>4</v>
      </c>
      <c r="I31" s="5">
        <f>6*(6^2-1)</f>
        <v>210</v>
      </c>
    </row>
    <row r="32">
      <c r="B32" s="76">
        <v>14.0</v>
      </c>
      <c r="C32" s="76">
        <v>1.0</v>
      </c>
      <c r="D32" s="3">
        <v>3.0</v>
      </c>
      <c r="E32" s="3">
        <v>5.0</v>
      </c>
      <c r="F32" s="5">
        <f t="shared" si="4"/>
        <v>-2</v>
      </c>
      <c r="G32" s="5">
        <f t="shared" si="5"/>
        <v>4</v>
      </c>
      <c r="I32" s="5">
        <f>I30/I31</f>
        <v>0.6285714286</v>
      </c>
    </row>
    <row r="33">
      <c r="B33" s="76">
        <v>15.0</v>
      </c>
      <c r="C33" s="76">
        <v>6.0</v>
      </c>
      <c r="D33" s="3">
        <v>2.0</v>
      </c>
      <c r="E33" s="3">
        <v>1.0</v>
      </c>
      <c r="F33" s="5">
        <f t="shared" si="4"/>
        <v>1</v>
      </c>
      <c r="G33" s="5">
        <f t="shared" si="5"/>
        <v>1</v>
      </c>
      <c r="I33" s="96" t="s">
        <v>170</v>
      </c>
      <c r="J33" s="97">
        <f>1-I32</f>
        <v>0.3714285714</v>
      </c>
    </row>
    <row r="34">
      <c r="B34" s="76">
        <v>17.0</v>
      </c>
      <c r="C34" s="76">
        <v>2.0</v>
      </c>
      <c r="D34" s="3">
        <v>1.0</v>
      </c>
      <c r="E34" s="3">
        <v>4.0</v>
      </c>
      <c r="F34" s="5">
        <f t="shared" si="4"/>
        <v>-3</v>
      </c>
      <c r="G34" s="5">
        <f t="shared" si="5"/>
        <v>9</v>
      </c>
    </row>
    <row r="35">
      <c r="B35" s="5">
        <f t="shared" ref="B35:C35" si="6">SUM(B29:B34)</f>
        <v>70</v>
      </c>
      <c r="C35" s="5">
        <f t="shared" si="6"/>
        <v>16</v>
      </c>
      <c r="F35" s="5">
        <f t="shared" si="4"/>
        <v>0</v>
      </c>
      <c r="G35" s="5">
        <f>SUM(G29:G34)</f>
        <v>22</v>
      </c>
    </row>
    <row r="40">
      <c r="A40" s="3" t="s">
        <v>95</v>
      </c>
      <c r="B40" s="1" t="s">
        <v>156</v>
      </c>
      <c r="C40" s="1" t="s">
        <v>157</v>
      </c>
      <c r="D40" s="2" t="s">
        <v>164</v>
      </c>
      <c r="E40" s="2" t="s">
        <v>165</v>
      </c>
      <c r="F40" s="2" t="s">
        <v>166</v>
      </c>
      <c r="G40" s="2" t="s">
        <v>169</v>
      </c>
    </row>
    <row r="41">
      <c r="B41" s="1">
        <v>80.0</v>
      </c>
      <c r="C41" s="1">
        <v>5.0</v>
      </c>
      <c r="D41" s="2">
        <v>5.0</v>
      </c>
      <c r="E41" s="2">
        <v>13.0</v>
      </c>
      <c r="F41" s="4">
        <f t="shared" ref="F41:F56" si="7">D41-E41</f>
        <v>-8</v>
      </c>
      <c r="G41" s="4">
        <f t="shared" ref="G41:G55" si="8">F41^2</f>
        <v>64</v>
      </c>
    </row>
    <row r="42">
      <c r="B42" s="1">
        <v>78.0</v>
      </c>
      <c r="C42" s="1">
        <v>23.0</v>
      </c>
      <c r="D42" s="2">
        <v>7.0</v>
      </c>
      <c r="E42" s="2">
        <v>6.5</v>
      </c>
      <c r="F42" s="4">
        <f t="shared" si="7"/>
        <v>0.5</v>
      </c>
      <c r="G42" s="4">
        <f t="shared" si="8"/>
        <v>0.25</v>
      </c>
      <c r="I42" s="5">
        <f>6*G56</f>
        <v>3804</v>
      </c>
      <c r="J42" s="5">
        <f>15*(15^2-1)</f>
        <v>3360</v>
      </c>
    </row>
    <row r="43">
      <c r="B43" s="1">
        <v>60.0</v>
      </c>
      <c r="C43" s="1">
        <v>25.0</v>
      </c>
      <c r="D43" s="2">
        <v>13.0</v>
      </c>
      <c r="E43" s="2">
        <v>5.0</v>
      </c>
      <c r="F43" s="4">
        <f t="shared" si="7"/>
        <v>8</v>
      </c>
      <c r="G43" s="4">
        <f t="shared" si="8"/>
        <v>64</v>
      </c>
      <c r="I43" s="5">
        <f>I42+1</f>
        <v>3805</v>
      </c>
      <c r="J43" s="5">
        <f>I43/J42</f>
        <v>1.132440476</v>
      </c>
    </row>
    <row r="44">
      <c r="B44" s="1">
        <v>53.0</v>
      </c>
      <c r="C44" s="1">
        <v>48.0</v>
      </c>
      <c r="D44" s="2">
        <v>15.0</v>
      </c>
      <c r="E44" s="2">
        <v>1.0</v>
      </c>
      <c r="F44" s="4">
        <f t="shared" si="7"/>
        <v>14</v>
      </c>
      <c r="G44" s="4">
        <f t="shared" si="8"/>
        <v>196</v>
      </c>
      <c r="J44" s="95">
        <f>1-J43</f>
        <v>-0.1324404762</v>
      </c>
    </row>
    <row r="45">
      <c r="B45" s="1">
        <v>85.0</v>
      </c>
      <c r="C45" s="1">
        <v>17.0</v>
      </c>
      <c r="D45" s="2">
        <v>2.0</v>
      </c>
      <c r="E45" s="2">
        <v>9.0</v>
      </c>
      <c r="F45" s="4">
        <f t="shared" si="7"/>
        <v>-7</v>
      </c>
      <c r="G45" s="4">
        <f t="shared" si="8"/>
        <v>49</v>
      </c>
    </row>
    <row r="46">
      <c r="B46" s="1">
        <v>84.0</v>
      </c>
      <c r="C46" s="1">
        <v>8.0</v>
      </c>
      <c r="D46" s="2">
        <v>3.0</v>
      </c>
      <c r="E46" s="2">
        <v>12.0</v>
      </c>
      <c r="F46" s="4">
        <f t="shared" si="7"/>
        <v>-9</v>
      </c>
      <c r="G46" s="4">
        <f t="shared" si="8"/>
        <v>81</v>
      </c>
    </row>
    <row r="47">
      <c r="B47" s="1">
        <v>73.0</v>
      </c>
      <c r="C47" s="1">
        <v>4.0</v>
      </c>
      <c r="D47" s="2">
        <v>9.0</v>
      </c>
      <c r="E47" s="2">
        <v>14.5</v>
      </c>
      <c r="F47" s="4">
        <f t="shared" si="7"/>
        <v>-5.5</v>
      </c>
      <c r="G47" s="4">
        <f t="shared" si="8"/>
        <v>30.25</v>
      </c>
    </row>
    <row r="48">
      <c r="B48" s="1">
        <v>79.0</v>
      </c>
      <c r="C48" s="1">
        <v>26.0</v>
      </c>
      <c r="D48" s="2">
        <v>6.0</v>
      </c>
      <c r="E48" s="2">
        <v>4.0</v>
      </c>
      <c r="F48" s="4">
        <f t="shared" si="7"/>
        <v>2</v>
      </c>
      <c r="G48" s="4">
        <f t="shared" si="8"/>
        <v>4</v>
      </c>
    </row>
    <row r="49">
      <c r="B49" s="1">
        <v>81.0</v>
      </c>
      <c r="C49" s="1">
        <v>11.0</v>
      </c>
      <c r="D49" s="2">
        <v>4.0</v>
      </c>
      <c r="E49" s="2">
        <v>11.0</v>
      </c>
      <c r="F49" s="4">
        <f t="shared" si="7"/>
        <v>-7</v>
      </c>
      <c r="G49" s="4">
        <f t="shared" si="8"/>
        <v>49</v>
      </c>
    </row>
    <row r="50">
      <c r="B50" s="1">
        <v>75.0</v>
      </c>
      <c r="C50" s="1">
        <v>19.0</v>
      </c>
      <c r="D50" s="2">
        <v>8.0</v>
      </c>
      <c r="E50" s="2">
        <v>8.0</v>
      </c>
      <c r="F50" s="4">
        <f t="shared" si="7"/>
        <v>0</v>
      </c>
      <c r="G50" s="4">
        <f t="shared" si="8"/>
        <v>0</v>
      </c>
    </row>
    <row r="51">
      <c r="B51" s="1">
        <v>68.0</v>
      </c>
      <c r="C51" s="1">
        <v>14.0</v>
      </c>
      <c r="D51" s="2">
        <v>11.0</v>
      </c>
      <c r="E51" s="2">
        <v>10.0</v>
      </c>
      <c r="F51" s="4">
        <f t="shared" si="7"/>
        <v>1</v>
      </c>
      <c r="G51" s="4">
        <f t="shared" si="8"/>
        <v>1</v>
      </c>
    </row>
    <row r="52">
      <c r="B52" s="1">
        <v>72.0</v>
      </c>
      <c r="C52" s="1">
        <v>35.0</v>
      </c>
      <c r="D52" s="2">
        <v>10.0</v>
      </c>
      <c r="E52" s="2">
        <v>2.0</v>
      </c>
      <c r="F52" s="4">
        <f t="shared" si="7"/>
        <v>8</v>
      </c>
      <c r="G52" s="4">
        <f t="shared" si="8"/>
        <v>64</v>
      </c>
    </row>
    <row r="53">
      <c r="B53" s="1">
        <v>58.0</v>
      </c>
      <c r="C53" s="1">
        <v>29.0</v>
      </c>
      <c r="D53" s="2">
        <v>14.0</v>
      </c>
      <c r="E53" s="2">
        <v>14.5</v>
      </c>
      <c r="F53" s="4">
        <f t="shared" si="7"/>
        <v>-0.5</v>
      </c>
      <c r="G53" s="4">
        <f t="shared" si="8"/>
        <v>0.25</v>
      </c>
    </row>
    <row r="54">
      <c r="B54" s="1">
        <v>92.0</v>
      </c>
      <c r="C54" s="1">
        <v>4.0</v>
      </c>
      <c r="D54" s="2">
        <v>1.0</v>
      </c>
      <c r="E54" s="4"/>
      <c r="F54" s="4">
        <f t="shared" si="7"/>
        <v>1</v>
      </c>
      <c r="G54" s="4">
        <f t="shared" si="8"/>
        <v>1</v>
      </c>
    </row>
    <row r="55">
      <c r="B55" s="1">
        <v>65.0</v>
      </c>
      <c r="C55" s="1">
        <v>23.0</v>
      </c>
      <c r="D55" s="2">
        <v>12.0</v>
      </c>
      <c r="E55" s="2">
        <v>6.5</v>
      </c>
      <c r="F55" s="4">
        <f t="shared" si="7"/>
        <v>5.5</v>
      </c>
      <c r="G55" s="4">
        <f t="shared" si="8"/>
        <v>30.25</v>
      </c>
    </row>
    <row r="56">
      <c r="B56" s="5">
        <f t="shared" ref="B56:C56" si="9">SUM(B41:B55)</f>
        <v>1103</v>
      </c>
      <c r="C56" s="5">
        <f t="shared" si="9"/>
        <v>291</v>
      </c>
      <c r="F56" s="5">
        <f t="shared" si="7"/>
        <v>0</v>
      </c>
      <c r="G56" s="5">
        <f>SUM(G41:G55)</f>
        <v>634</v>
      </c>
    </row>
    <row r="59">
      <c r="A59" s="3" t="s">
        <v>26</v>
      </c>
    </row>
    <row r="60">
      <c r="B60" s="15" t="s">
        <v>160</v>
      </c>
      <c r="C60" s="15" t="s">
        <v>161</v>
      </c>
      <c r="D60" s="15" t="s">
        <v>164</v>
      </c>
      <c r="E60" s="15" t="s">
        <v>165</v>
      </c>
      <c r="F60" s="15" t="s">
        <v>166</v>
      </c>
      <c r="G60" s="15" t="s">
        <v>169</v>
      </c>
    </row>
    <row r="61">
      <c r="B61" s="15">
        <v>10.0</v>
      </c>
      <c r="C61" s="15">
        <v>5.0</v>
      </c>
      <c r="D61" s="15">
        <v>10.0</v>
      </c>
      <c r="E61" s="15">
        <v>7.0</v>
      </c>
      <c r="F61" s="16">
        <f t="shared" ref="F61:F70" si="10">D61-E61</f>
        <v>3</v>
      </c>
      <c r="G61" s="16">
        <f t="shared" ref="G61:G70" si="11">F61^2</f>
        <v>9</v>
      </c>
      <c r="H61" s="5">
        <f>6*G71</f>
        <v>732</v>
      </c>
    </row>
    <row r="62">
      <c r="B62" s="15">
        <v>20.0</v>
      </c>
      <c r="C62" s="15">
        <v>9.0</v>
      </c>
      <c r="D62" s="15">
        <v>9.0</v>
      </c>
      <c r="E62" s="15">
        <v>5.0</v>
      </c>
      <c r="F62" s="16">
        <f t="shared" si="10"/>
        <v>4</v>
      </c>
      <c r="G62" s="16">
        <f t="shared" si="11"/>
        <v>16</v>
      </c>
      <c r="H62" s="5">
        <f>10*(10^2-1)</f>
        <v>990</v>
      </c>
    </row>
    <row r="63">
      <c r="B63" s="15">
        <v>30.0</v>
      </c>
      <c r="C63" s="15">
        <v>17.0</v>
      </c>
      <c r="D63" s="15">
        <v>8.0</v>
      </c>
      <c r="E63" s="15">
        <v>4.0</v>
      </c>
      <c r="F63" s="16">
        <f t="shared" si="10"/>
        <v>4</v>
      </c>
      <c r="G63" s="16">
        <f t="shared" si="11"/>
        <v>16</v>
      </c>
      <c r="H63" s="5">
        <f>H61/H62</f>
        <v>0.7393939394</v>
      </c>
    </row>
    <row r="64">
      <c r="B64" s="15">
        <v>40.0</v>
      </c>
      <c r="C64" s="15">
        <v>1.0</v>
      </c>
      <c r="D64" s="15">
        <v>7.0</v>
      </c>
      <c r="E64" s="15">
        <v>10.0</v>
      </c>
      <c r="F64" s="16">
        <f t="shared" si="10"/>
        <v>-3</v>
      </c>
      <c r="G64" s="16">
        <f t="shared" si="11"/>
        <v>9</v>
      </c>
      <c r="H64" s="5">
        <f>1-H63</f>
        <v>0.2606060606</v>
      </c>
      <c r="J64" s="98" t="s">
        <v>170</v>
      </c>
      <c r="K64" s="99">
        <f>H64</f>
        <v>0.2606060606</v>
      </c>
    </row>
    <row r="65">
      <c r="B65" s="15">
        <v>50.0</v>
      </c>
      <c r="C65" s="15">
        <v>45.0</v>
      </c>
      <c r="D65" s="15">
        <v>6.0</v>
      </c>
      <c r="E65" s="15">
        <v>3.0</v>
      </c>
      <c r="F65" s="16">
        <f t="shared" si="10"/>
        <v>3</v>
      </c>
      <c r="G65" s="16">
        <f t="shared" si="11"/>
        <v>9</v>
      </c>
    </row>
    <row r="66">
      <c r="B66" s="15">
        <v>60.0</v>
      </c>
      <c r="C66" s="15">
        <v>3.0</v>
      </c>
      <c r="D66" s="15">
        <v>5.0</v>
      </c>
      <c r="E66" s="15">
        <v>8.0</v>
      </c>
      <c r="F66" s="16">
        <f t="shared" si="10"/>
        <v>-3</v>
      </c>
      <c r="G66" s="16">
        <f t="shared" si="11"/>
        <v>9</v>
      </c>
    </row>
    <row r="67">
      <c r="B67" s="15">
        <v>70.0</v>
      </c>
      <c r="C67" s="15">
        <v>8.0</v>
      </c>
      <c r="D67" s="15">
        <v>4.0</v>
      </c>
      <c r="E67" s="15">
        <v>6.0</v>
      </c>
      <c r="F67" s="16">
        <f t="shared" si="10"/>
        <v>-2</v>
      </c>
      <c r="G67" s="16">
        <f t="shared" si="11"/>
        <v>4</v>
      </c>
    </row>
    <row r="68">
      <c r="B68" s="15">
        <v>80.0</v>
      </c>
      <c r="C68" s="15">
        <v>78.0</v>
      </c>
      <c r="D68" s="15">
        <v>3.0</v>
      </c>
      <c r="E68" s="15">
        <v>2.0</v>
      </c>
      <c r="F68" s="16">
        <f t="shared" si="10"/>
        <v>1</v>
      </c>
      <c r="G68" s="16">
        <f t="shared" si="11"/>
        <v>1</v>
      </c>
    </row>
    <row r="69">
      <c r="B69" s="15">
        <v>90.0</v>
      </c>
      <c r="C69" s="15">
        <v>2.0</v>
      </c>
      <c r="D69" s="15">
        <v>2.0</v>
      </c>
      <c r="E69" s="15">
        <v>9.0</v>
      </c>
      <c r="F69" s="16">
        <f t="shared" si="10"/>
        <v>-7</v>
      </c>
      <c r="G69" s="16">
        <f t="shared" si="11"/>
        <v>49</v>
      </c>
    </row>
    <row r="70">
      <c r="B70" s="15">
        <v>100.0</v>
      </c>
      <c r="C70" s="15">
        <v>85.0</v>
      </c>
      <c r="D70" s="15">
        <v>1.0</v>
      </c>
      <c r="E70" s="15">
        <v>1.0</v>
      </c>
      <c r="F70" s="16">
        <f t="shared" si="10"/>
        <v>0</v>
      </c>
      <c r="G70" s="16">
        <f t="shared" si="11"/>
        <v>0</v>
      </c>
    </row>
    <row r="71">
      <c r="B71" s="5">
        <f t="shared" ref="B71:G71" si="12">SUM(B61:B70)</f>
        <v>550</v>
      </c>
      <c r="C71" s="5">
        <f t="shared" si="12"/>
        <v>253</v>
      </c>
      <c r="D71" s="5">
        <f t="shared" si="12"/>
        <v>55</v>
      </c>
      <c r="E71" s="5">
        <f t="shared" si="12"/>
        <v>55</v>
      </c>
      <c r="F71" s="5">
        <f t="shared" si="12"/>
        <v>0</v>
      </c>
      <c r="G71" s="5">
        <f t="shared" si="12"/>
        <v>122</v>
      </c>
    </row>
    <row r="75">
      <c r="A75" s="3" t="s">
        <v>171</v>
      </c>
      <c r="B75" s="3" t="s">
        <v>172</v>
      </c>
    </row>
    <row r="76">
      <c r="B76" s="76" t="s">
        <v>160</v>
      </c>
      <c r="C76" s="76" t="s">
        <v>161</v>
      </c>
      <c r="D76" s="76" t="s">
        <v>164</v>
      </c>
      <c r="E76" s="76" t="s">
        <v>165</v>
      </c>
      <c r="F76" s="76" t="s">
        <v>166</v>
      </c>
      <c r="G76" s="76" t="s">
        <v>169</v>
      </c>
    </row>
    <row r="77">
      <c r="B77" s="76">
        <v>10.0</v>
      </c>
      <c r="C77" s="76">
        <v>4.0</v>
      </c>
      <c r="D77" s="76">
        <v>4.5</v>
      </c>
      <c r="E77" s="76">
        <v>6.0</v>
      </c>
      <c r="F77" s="77">
        <f t="shared" ref="F77:F83" si="13">D77-E77</f>
        <v>-1.5</v>
      </c>
      <c r="G77" s="77">
        <f t="shared" ref="G77:G78" si="14">F77^2</f>
        <v>2.25</v>
      </c>
      <c r="I77" s="5">
        <f>6*(G84)</f>
        <v>477</v>
      </c>
      <c r="J77" s="5">
        <f>7*(7^2-1)</f>
        <v>336</v>
      </c>
    </row>
    <row r="78">
      <c r="B78" s="76">
        <v>11.0</v>
      </c>
      <c r="C78" s="76">
        <v>5.0</v>
      </c>
      <c r="D78" s="76">
        <v>3.0</v>
      </c>
      <c r="E78" s="76">
        <v>4.0</v>
      </c>
      <c r="F78" s="77">
        <f t="shared" si="13"/>
        <v>-1</v>
      </c>
      <c r="G78" s="77">
        <f t="shared" si="14"/>
        <v>1</v>
      </c>
      <c r="I78" s="5">
        <f>(2^3-2)/12</f>
        <v>0.5</v>
      </c>
      <c r="J78" s="5">
        <f>I80/J77</f>
        <v>1.427083333</v>
      </c>
    </row>
    <row r="79">
      <c r="B79" s="76">
        <v>12.0</v>
      </c>
      <c r="C79" s="76">
        <v>6.0</v>
      </c>
      <c r="D79" s="76">
        <v>2.0</v>
      </c>
      <c r="E79" s="76">
        <v>2.0</v>
      </c>
      <c r="F79" s="77">
        <f t="shared" si="13"/>
        <v>0</v>
      </c>
      <c r="G79" s="76">
        <v>0.0</v>
      </c>
      <c r="I79" s="5">
        <f>(3^3-3)/12</f>
        <v>2</v>
      </c>
      <c r="J79" s="3" t="s">
        <v>170</v>
      </c>
      <c r="K79" s="5">
        <f>1-J78</f>
        <v>-0.4270833333</v>
      </c>
    </row>
    <row r="80">
      <c r="B80" s="76">
        <v>8.0</v>
      </c>
      <c r="C80" s="76">
        <v>5.0</v>
      </c>
      <c r="D80" s="76">
        <v>6.0</v>
      </c>
      <c r="E80" s="76">
        <v>4.0</v>
      </c>
      <c r="F80" s="77">
        <f t="shared" si="13"/>
        <v>2</v>
      </c>
      <c r="G80" s="77">
        <f t="shared" ref="G80:G83" si="15">F80^2</f>
        <v>4</v>
      </c>
      <c r="I80" s="5">
        <f>I77+I78+I79</f>
        <v>479.5</v>
      </c>
    </row>
    <row r="81">
      <c r="B81" s="76">
        <v>10.0</v>
      </c>
      <c r="C81" s="76">
        <v>5.0</v>
      </c>
      <c r="D81" s="76">
        <v>4.5</v>
      </c>
      <c r="E81" s="76">
        <v>4.0</v>
      </c>
      <c r="F81" s="77">
        <f t="shared" si="13"/>
        <v>0.5</v>
      </c>
      <c r="G81" s="77">
        <f t="shared" si="15"/>
        <v>0.25</v>
      </c>
    </row>
    <row r="82">
      <c r="B82" s="76">
        <v>15.0</v>
      </c>
      <c r="C82" s="76">
        <v>3.0</v>
      </c>
      <c r="D82" s="76">
        <v>1.0</v>
      </c>
      <c r="E82" s="76">
        <v>7.0</v>
      </c>
      <c r="F82" s="77">
        <f t="shared" si="13"/>
        <v>-6</v>
      </c>
      <c r="G82" s="77">
        <f t="shared" si="15"/>
        <v>36</v>
      </c>
    </row>
    <row r="83">
      <c r="B83" s="76">
        <v>7.0</v>
      </c>
      <c r="C83" s="76">
        <v>7.0</v>
      </c>
      <c r="D83" s="76">
        <v>7.0</v>
      </c>
      <c r="E83" s="76">
        <v>1.0</v>
      </c>
      <c r="F83" s="77">
        <f t="shared" si="13"/>
        <v>6</v>
      </c>
      <c r="G83" s="77">
        <f t="shared" si="15"/>
        <v>36</v>
      </c>
    </row>
    <row r="84">
      <c r="G84" s="5">
        <f>SUM(G76:G83)</f>
        <v>79.5</v>
      </c>
    </row>
    <row r="86">
      <c r="A86" s="3" t="s">
        <v>18</v>
      </c>
    </row>
    <row r="87">
      <c r="B87" s="100" t="s">
        <v>160</v>
      </c>
      <c r="C87" s="100" t="s">
        <v>161</v>
      </c>
      <c r="D87" s="100" t="s">
        <v>164</v>
      </c>
      <c r="E87" s="100" t="s">
        <v>165</v>
      </c>
      <c r="F87" s="100" t="s">
        <v>166</v>
      </c>
      <c r="G87" s="100" t="s">
        <v>169</v>
      </c>
    </row>
    <row r="88">
      <c r="B88" s="100">
        <v>8.0</v>
      </c>
      <c r="C88" s="100">
        <v>81.0</v>
      </c>
      <c r="D88" s="100">
        <v>1.5</v>
      </c>
      <c r="E88" s="100">
        <v>2.0</v>
      </c>
      <c r="F88" s="101">
        <f t="shared" ref="F88:F93" si="16">D88-E88</f>
        <v>-0.5</v>
      </c>
      <c r="G88" s="101">
        <f t="shared" ref="G88:G93" si="17">F88^2</f>
        <v>0.25</v>
      </c>
      <c r="I88" s="5">
        <f>6*G94</f>
        <v>57</v>
      </c>
      <c r="J88" s="5">
        <f>6*(6^2-1)</f>
        <v>210</v>
      </c>
    </row>
    <row r="89">
      <c r="B89" s="100">
        <v>8.0</v>
      </c>
      <c r="C89" s="100">
        <v>80.0</v>
      </c>
      <c r="D89" s="100">
        <v>1.5</v>
      </c>
      <c r="E89" s="100">
        <v>3.5</v>
      </c>
      <c r="F89" s="101">
        <f t="shared" si="16"/>
        <v>-2</v>
      </c>
      <c r="G89" s="101">
        <f t="shared" si="17"/>
        <v>4</v>
      </c>
      <c r="I89" s="5">
        <f>(2^2-1)/12</f>
        <v>0.25</v>
      </c>
      <c r="J89" s="5">
        <f>I92/J88</f>
        <v>0.275</v>
      </c>
    </row>
    <row r="90">
      <c r="B90" s="100">
        <v>6.0</v>
      </c>
      <c r="C90" s="100">
        <v>75.0</v>
      </c>
      <c r="D90" s="100">
        <v>4.5</v>
      </c>
      <c r="E90" s="100">
        <v>5.0</v>
      </c>
      <c r="F90" s="101">
        <f t="shared" si="16"/>
        <v>-0.5</v>
      </c>
      <c r="G90" s="101">
        <f t="shared" si="17"/>
        <v>0.25</v>
      </c>
      <c r="I90" s="5">
        <f t="shared" ref="I90:I91" si="18">I89</f>
        <v>0.25</v>
      </c>
      <c r="J90" s="5">
        <f>1-J89</f>
        <v>0.725</v>
      </c>
    </row>
    <row r="91">
      <c r="B91" s="100">
        <v>5.0</v>
      </c>
      <c r="C91" s="100">
        <v>65.0</v>
      </c>
      <c r="D91" s="100">
        <v>6.0</v>
      </c>
      <c r="E91" s="100">
        <v>6.0</v>
      </c>
      <c r="F91" s="101">
        <f t="shared" si="16"/>
        <v>0</v>
      </c>
      <c r="G91" s="101">
        <f t="shared" si="17"/>
        <v>0</v>
      </c>
      <c r="I91" s="5">
        <f t="shared" si="18"/>
        <v>0.25</v>
      </c>
    </row>
    <row r="92">
      <c r="B92" s="100">
        <v>7.0</v>
      </c>
      <c r="C92" s="100">
        <v>91.0</v>
      </c>
      <c r="D92" s="100">
        <v>3.0</v>
      </c>
      <c r="E92" s="100">
        <v>1.0</v>
      </c>
      <c r="F92" s="101">
        <f t="shared" si="16"/>
        <v>2</v>
      </c>
      <c r="G92" s="101">
        <f t="shared" si="17"/>
        <v>4</v>
      </c>
      <c r="I92" s="5">
        <f>SUM(I88:I91)</f>
        <v>57.75</v>
      </c>
      <c r="K92" s="6" t="s">
        <v>170</v>
      </c>
      <c r="L92" s="7">
        <f>J90</f>
        <v>0.725</v>
      </c>
    </row>
    <row r="93">
      <c r="B93" s="100">
        <v>6.0</v>
      </c>
      <c r="C93" s="100">
        <v>80.0</v>
      </c>
      <c r="D93" s="100">
        <v>4.5</v>
      </c>
      <c r="E93" s="100">
        <v>3.5</v>
      </c>
      <c r="F93" s="101">
        <f t="shared" si="16"/>
        <v>1</v>
      </c>
      <c r="G93" s="101">
        <f t="shared" si="17"/>
        <v>1</v>
      </c>
    </row>
    <row r="94">
      <c r="G94" s="5">
        <f>SUM(G88:G93)</f>
        <v>9.5</v>
      </c>
    </row>
    <row r="98">
      <c r="B98" s="1" t="s">
        <v>129</v>
      </c>
      <c r="C98" s="1" t="s">
        <v>130</v>
      </c>
      <c r="D98" s="3" t="s">
        <v>164</v>
      </c>
      <c r="E98" s="3" t="s">
        <v>165</v>
      </c>
      <c r="F98" s="3" t="s">
        <v>166</v>
      </c>
      <c r="G98" s="3" t="s">
        <v>169</v>
      </c>
    </row>
    <row r="99">
      <c r="B99" s="1">
        <v>10.0</v>
      </c>
      <c r="C99" s="1">
        <v>2.0</v>
      </c>
      <c r="D99" s="3">
        <v>5.0</v>
      </c>
      <c r="E99" s="3">
        <v>5.0</v>
      </c>
      <c r="F99" s="5">
        <f t="shared" ref="F99:F103" si="19">D99-E99</f>
        <v>0</v>
      </c>
      <c r="G99" s="5">
        <f t="shared" ref="G99:G103" si="20">F99^2</f>
        <v>0</v>
      </c>
      <c r="I99" s="5">
        <f>6*G104</f>
        <v>45</v>
      </c>
    </row>
    <row r="100">
      <c r="B100" s="1">
        <v>11.0</v>
      </c>
      <c r="C100" s="1">
        <v>3.0</v>
      </c>
      <c r="D100" s="3">
        <v>4.0</v>
      </c>
      <c r="E100" s="3">
        <v>3.5</v>
      </c>
      <c r="F100" s="5">
        <f t="shared" si="19"/>
        <v>0.5</v>
      </c>
      <c r="G100" s="5">
        <f t="shared" si="20"/>
        <v>0.25</v>
      </c>
      <c r="I100" s="5">
        <f>(2^3-2)/12</f>
        <v>0.5</v>
      </c>
    </row>
    <row r="101">
      <c r="B101" s="1">
        <v>12.0</v>
      </c>
      <c r="C101" s="1">
        <v>8.0</v>
      </c>
      <c r="D101" s="3">
        <v>3.0</v>
      </c>
      <c r="E101" s="3">
        <v>1.0</v>
      </c>
      <c r="F101" s="5">
        <f t="shared" si="19"/>
        <v>2</v>
      </c>
      <c r="G101" s="5">
        <f t="shared" si="20"/>
        <v>4</v>
      </c>
      <c r="I101" s="5">
        <f>I99+I100</f>
        <v>45.5</v>
      </c>
    </row>
    <row r="102">
      <c r="B102" s="1">
        <v>14.0</v>
      </c>
      <c r="C102" s="1">
        <v>3.0</v>
      </c>
      <c r="D102" s="3">
        <v>2.0</v>
      </c>
      <c r="E102" s="3">
        <v>3.5</v>
      </c>
      <c r="F102" s="5">
        <f t="shared" si="19"/>
        <v>-1.5</v>
      </c>
      <c r="G102" s="5">
        <f t="shared" si="20"/>
        <v>2.25</v>
      </c>
      <c r="I102" s="5">
        <f>5^2-1</f>
        <v>24</v>
      </c>
    </row>
    <row r="103">
      <c r="B103" s="1">
        <v>15.0</v>
      </c>
      <c r="C103" s="1">
        <v>4.0</v>
      </c>
      <c r="D103" s="3">
        <v>1.0</v>
      </c>
      <c r="E103" s="3">
        <v>2.0</v>
      </c>
      <c r="F103" s="5">
        <f t="shared" si="19"/>
        <v>-1</v>
      </c>
      <c r="G103" s="5">
        <f t="shared" si="20"/>
        <v>1</v>
      </c>
      <c r="I103" s="5">
        <f>5*I102</f>
        <v>120</v>
      </c>
    </row>
    <row r="104">
      <c r="G104" s="5">
        <f>SUM(G99:G103)</f>
        <v>7.5</v>
      </c>
      <c r="I104" s="5">
        <f>I101/I103</f>
        <v>0.3791666667</v>
      </c>
    </row>
    <row r="105">
      <c r="H105" s="102" t="s">
        <v>170</v>
      </c>
      <c r="I105" s="103">
        <f>1-I104</f>
        <v>0.6208333333</v>
      </c>
    </row>
    <row r="108">
      <c r="B108" s="6" t="s">
        <v>133</v>
      </c>
      <c r="C108" s="6" t="s">
        <v>134</v>
      </c>
      <c r="D108" s="3" t="s">
        <v>164</v>
      </c>
      <c r="E108" s="3" t="s">
        <v>165</v>
      </c>
      <c r="F108" s="3" t="s">
        <v>166</v>
      </c>
      <c r="G108" s="3" t="s">
        <v>169</v>
      </c>
      <c r="H108" s="5">
        <f>6*G114</f>
        <v>2215.5</v>
      </c>
      <c r="I108" s="5">
        <f>5*(5^2-1)</f>
        <v>120</v>
      </c>
    </row>
    <row r="109">
      <c r="B109" s="6">
        <v>20.0</v>
      </c>
      <c r="C109" s="6">
        <v>6.0</v>
      </c>
      <c r="D109" s="3">
        <v>5.0</v>
      </c>
      <c r="E109" s="3">
        <v>1.0</v>
      </c>
      <c r="F109" s="5">
        <f t="shared" ref="F109:F113" si="21">D109*E109</f>
        <v>5</v>
      </c>
      <c r="G109" s="5">
        <f t="shared" ref="G109:G113" si="22">F109^2</f>
        <v>25</v>
      </c>
      <c r="H109" s="5">
        <f>2^3-2</f>
        <v>6</v>
      </c>
      <c r="I109" s="5">
        <f>H111/I108</f>
        <v>18.46666667</v>
      </c>
    </row>
    <row r="110">
      <c r="B110" s="6">
        <v>21.0</v>
      </c>
      <c r="C110" s="6">
        <v>4.0</v>
      </c>
      <c r="D110" s="3">
        <v>4.0</v>
      </c>
      <c r="E110" s="3">
        <v>3.5</v>
      </c>
      <c r="F110" s="5">
        <f t="shared" si="21"/>
        <v>14</v>
      </c>
      <c r="G110" s="5">
        <f t="shared" si="22"/>
        <v>196</v>
      </c>
      <c r="H110" s="5">
        <f>H109/12</f>
        <v>0.5</v>
      </c>
      <c r="I110" s="95">
        <f>1-I109</f>
        <v>-17.46666667</v>
      </c>
    </row>
    <row r="111">
      <c r="B111" s="6">
        <v>22.0</v>
      </c>
      <c r="C111" s="6">
        <v>5.0</v>
      </c>
      <c r="D111" s="3">
        <v>3.0</v>
      </c>
      <c r="E111" s="3">
        <v>2.0</v>
      </c>
      <c r="F111" s="5">
        <f t="shared" si="21"/>
        <v>6</v>
      </c>
      <c r="G111" s="5">
        <f t="shared" si="22"/>
        <v>36</v>
      </c>
      <c r="H111" s="5">
        <f>H108+H110</f>
        <v>2216</v>
      </c>
    </row>
    <row r="112">
      <c r="B112" s="6">
        <v>23.0</v>
      </c>
      <c r="C112" s="6">
        <v>1.0</v>
      </c>
      <c r="D112" s="3">
        <v>2.0</v>
      </c>
      <c r="E112" s="3">
        <v>5.0</v>
      </c>
      <c r="F112" s="5">
        <f t="shared" si="21"/>
        <v>10</v>
      </c>
      <c r="G112" s="5">
        <f t="shared" si="22"/>
        <v>100</v>
      </c>
    </row>
    <row r="113">
      <c r="B113" s="6">
        <v>24.0</v>
      </c>
      <c r="C113" s="6">
        <v>4.0</v>
      </c>
      <c r="D113" s="3">
        <v>1.0</v>
      </c>
      <c r="E113" s="3">
        <v>3.5</v>
      </c>
      <c r="F113" s="5">
        <f t="shared" si="21"/>
        <v>3.5</v>
      </c>
      <c r="G113" s="5">
        <f t="shared" si="22"/>
        <v>12.25</v>
      </c>
    </row>
    <row r="114">
      <c r="G114" s="5">
        <f>SUM(G109:G113)</f>
        <v>369.25</v>
      </c>
    </row>
    <row r="120">
      <c r="B120" s="7"/>
      <c r="C120" s="7"/>
    </row>
    <row r="121">
      <c r="B121" s="6" t="s">
        <v>142</v>
      </c>
      <c r="C121" s="6" t="s">
        <v>143</v>
      </c>
      <c r="D121" s="3" t="s">
        <v>164</v>
      </c>
      <c r="E121" s="3" t="s">
        <v>165</v>
      </c>
      <c r="F121" s="3" t="s">
        <v>166</v>
      </c>
      <c r="G121" s="3" t="s">
        <v>169</v>
      </c>
    </row>
    <row r="122">
      <c r="B122" s="6">
        <v>99.0</v>
      </c>
      <c r="C122" s="6">
        <v>0.0</v>
      </c>
      <c r="D122" s="3">
        <v>7.0</v>
      </c>
      <c r="E122" s="3">
        <v>9.5</v>
      </c>
      <c r="F122" s="5">
        <f t="shared" ref="F122:F131" si="23">D122-E122</f>
        <v>-2.5</v>
      </c>
      <c r="G122" s="5">
        <f t="shared" ref="G122:G131" si="24">F122^2</f>
        <v>6.25</v>
      </c>
      <c r="I122" s="5">
        <f>6*G132</f>
        <v>1071</v>
      </c>
      <c r="J122" s="5">
        <f>10*(10^2-1)</f>
        <v>990</v>
      </c>
    </row>
    <row r="123">
      <c r="B123" s="6">
        <v>120.0</v>
      </c>
      <c r="C123" s="6">
        <v>0.0</v>
      </c>
      <c r="D123" s="3">
        <v>2.0</v>
      </c>
      <c r="E123" s="3">
        <v>9.5</v>
      </c>
      <c r="F123" s="5">
        <f t="shared" si="23"/>
        <v>-7.5</v>
      </c>
      <c r="G123" s="5">
        <f t="shared" si="24"/>
        <v>56.25</v>
      </c>
      <c r="I123" s="5">
        <f>2^3-2</f>
        <v>6</v>
      </c>
      <c r="J123" s="5">
        <f>I125/J122</f>
        <v>1.082323232</v>
      </c>
    </row>
    <row r="124">
      <c r="B124" s="6">
        <v>98.0</v>
      </c>
      <c r="C124" s="6">
        <v>25.0</v>
      </c>
      <c r="D124" s="3">
        <v>8.0</v>
      </c>
      <c r="E124" s="3">
        <v>2.0</v>
      </c>
      <c r="F124" s="5">
        <f t="shared" si="23"/>
        <v>6</v>
      </c>
      <c r="G124" s="5">
        <f t="shared" si="24"/>
        <v>36</v>
      </c>
      <c r="I124" s="5">
        <f>I123/12</f>
        <v>0.5</v>
      </c>
      <c r="J124" s="88">
        <f>1-J123</f>
        <v>-0.08232323232</v>
      </c>
    </row>
    <row r="125">
      <c r="B125" s="6">
        <v>102.0</v>
      </c>
      <c r="C125" s="6">
        <v>45.0</v>
      </c>
      <c r="D125" s="3">
        <v>6.0</v>
      </c>
      <c r="E125" s="3">
        <v>1.0</v>
      </c>
      <c r="F125" s="5">
        <f t="shared" si="23"/>
        <v>5</v>
      </c>
      <c r="G125" s="5">
        <f t="shared" si="24"/>
        <v>25</v>
      </c>
      <c r="I125" s="5">
        <f>I122+I124</f>
        <v>1071.5</v>
      </c>
    </row>
    <row r="126">
      <c r="B126" s="6">
        <v>123.0</v>
      </c>
      <c r="C126" s="6">
        <v>14.0</v>
      </c>
      <c r="D126" s="3">
        <v>1.0</v>
      </c>
      <c r="E126" s="3">
        <v>7.0</v>
      </c>
      <c r="F126" s="5">
        <f t="shared" si="23"/>
        <v>-6</v>
      </c>
      <c r="G126" s="5">
        <f t="shared" si="24"/>
        <v>36</v>
      </c>
    </row>
    <row r="127">
      <c r="B127" s="6">
        <v>105.0</v>
      </c>
      <c r="C127" s="6">
        <v>20.0</v>
      </c>
      <c r="D127" s="3">
        <v>5.0</v>
      </c>
      <c r="E127" s="3">
        <v>4.0</v>
      </c>
      <c r="F127" s="5">
        <f t="shared" si="23"/>
        <v>1</v>
      </c>
      <c r="G127" s="5">
        <f t="shared" si="24"/>
        <v>1</v>
      </c>
    </row>
    <row r="128">
      <c r="B128" s="6">
        <v>85.0</v>
      </c>
      <c r="C128" s="6">
        <v>15.0</v>
      </c>
      <c r="D128" s="3">
        <v>10.0</v>
      </c>
      <c r="E128" s="3">
        <v>6.0</v>
      </c>
      <c r="F128" s="5">
        <f t="shared" si="23"/>
        <v>4</v>
      </c>
      <c r="G128" s="5">
        <f t="shared" si="24"/>
        <v>16</v>
      </c>
    </row>
    <row r="129">
      <c r="B129" s="6">
        <v>110.0</v>
      </c>
      <c r="C129" s="6">
        <v>19.0</v>
      </c>
      <c r="D129" s="3">
        <v>4.0</v>
      </c>
      <c r="E129" s="3">
        <v>5.0</v>
      </c>
      <c r="F129" s="5">
        <f t="shared" si="23"/>
        <v>-1</v>
      </c>
      <c r="G129" s="5">
        <f t="shared" si="24"/>
        <v>1</v>
      </c>
    </row>
    <row r="130">
      <c r="B130" s="6">
        <v>117.0</v>
      </c>
      <c r="C130" s="6">
        <v>22.0</v>
      </c>
      <c r="D130" s="3">
        <v>3.0</v>
      </c>
      <c r="E130" s="3">
        <v>3.0</v>
      </c>
      <c r="F130" s="5">
        <f t="shared" si="23"/>
        <v>0</v>
      </c>
      <c r="G130" s="5">
        <f t="shared" si="24"/>
        <v>0</v>
      </c>
    </row>
    <row r="131">
      <c r="B131" s="6">
        <v>90.0</v>
      </c>
      <c r="C131" s="6">
        <v>4.0</v>
      </c>
      <c r="D131" s="3">
        <v>9.0</v>
      </c>
      <c r="E131" s="3">
        <v>8.0</v>
      </c>
      <c r="F131" s="5">
        <f t="shared" si="23"/>
        <v>1</v>
      </c>
      <c r="G131" s="5">
        <f t="shared" si="24"/>
        <v>1</v>
      </c>
    </row>
    <row r="132">
      <c r="G132" s="5">
        <f>SUM(G122:G131)</f>
        <v>178.5</v>
      </c>
    </row>
    <row r="135">
      <c r="B135" s="9" t="s">
        <v>145</v>
      </c>
      <c r="C135" s="9" t="s">
        <v>146</v>
      </c>
      <c r="D135" s="2" t="s">
        <v>164</v>
      </c>
      <c r="E135" s="2" t="s">
        <v>165</v>
      </c>
      <c r="F135" s="2" t="s">
        <v>166</v>
      </c>
      <c r="G135" s="2" t="s">
        <v>169</v>
      </c>
    </row>
    <row r="136">
      <c r="B136" s="9">
        <v>3.0</v>
      </c>
      <c r="C136" s="9">
        <v>74.0</v>
      </c>
      <c r="D136" s="2">
        <v>3.5</v>
      </c>
      <c r="E136" s="2">
        <v>3.0</v>
      </c>
      <c r="F136" s="4">
        <f t="shared" ref="F136:F142" si="25">D136-E136</f>
        <v>0.5</v>
      </c>
      <c r="G136" s="4">
        <f t="shared" ref="G136:G142" si="26">F136^2</f>
        <v>0.25</v>
      </c>
      <c r="H136" s="5">
        <f>6*G143</f>
        <v>15</v>
      </c>
      <c r="I136" s="5">
        <f>7*(7^2-1)</f>
        <v>336</v>
      </c>
    </row>
    <row r="137">
      <c r="B137" s="9">
        <v>1.0</v>
      </c>
      <c r="C137" s="9">
        <v>68.0</v>
      </c>
      <c r="D137" s="2">
        <v>6.5</v>
      </c>
      <c r="E137" s="2">
        <v>5.5</v>
      </c>
      <c r="F137" s="4">
        <f t="shared" si="25"/>
        <v>1</v>
      </c>
      <c r="G137" s="4">
        <f t="shared" si="26"/>
        <v>1</v>
      </c>
      <c r="H137" s="5">
        <f>2^3-2</f>
        <v>6</v>
      </c>
      <c r="I137" s="5">
        <f>H139/I136</f>
        <v>0.0505952381</v>
      </c>
    </row>
    <row r="138">
      <c r="B138" s="9">
        <v>1.0</v>
      </c>
      <c r="C138" s="9">
        <v>66.0</v>
      </c>
      <c r="D138" s="2">
        <v>6.5</v>
      </c>
      <c r="E138" s="2">
        <v>7.0</v>
      </c>
      <c r="F138" s="4">
        <f t="shared" si="25"/>
        <v>-0.5</v>
      </c>
      <c r="G138" s="4">
        <f t="shared" si="26"/>
        <v>0.25</v>
      </c>
      <c r="H138" s="5">
        <f>H137/12</f>
        <v>0.5</v>
      </c>
      <c r="I138" s="95">
        <f>1-I137</f>
        <v>0.9494047619</v>
      </c>
    </row>
    <row r="139">
      <c r="B139" s="9">
        <v>3.0</v>
      </c>
      <c r="C139" s="9">
        <v>72.0</v>
      </c>
      <c r="D139" s="2">
        <v>3.5</v>
      </c>
      <c r="E139" s="2">
        <v>4.0</v>
      </c>
      <c r="F139" s="4">
        <f t="shared" si="25"/>
        <v>-0.5</v>
      </c>
      <c r="G139" s="4">
        <f t="shared" si="26"/>
        <v>0.25</v>
      </c>
      <c r="H139" s="3">
        <v>17.0</v>
      </c>
    </row>
    <row r="140">
      <c r="B140" s="9">
        <v>4.0</v>
      </c>
      <c r="C140" s="9">
        <v>80.0</v>
      </c>
      <c r="D140" s="2">
        <v>1.5</v>
      </c>
      <c r="E140" s="2">
        <v>1.0</v>
      </c>
      <c r="F140" s="4">
        <f t="shared" si="25"/>
        <v>0.5</v>
      </c>
      <c r="G140" s="4">
        <f t="shared" si="26"/>
        <v>0.25</v>
      </c>
    </row>
    <row r="141">
      <c r="B141" s="9">
        <v>2.0</v>
      </c>
      <c r="C141" s="9">
        <v>68.0</v>
      </c>
      <c r="D141" s="2">
        <v>5.0</v>
      </c>
      <c r="E141" s="2">
        <v>5.5</v>
      </c>
      <c r="F141" s="4">
        <f t="shared" si="25"/>
        <v>-0.5</v>
      </c>
      <c r="G141" s="4">
        <f t="shared" si="26"/>
        <v>0.25</v>
      </c>
    </row>
    <row r="142">
      <c r="B142" s="9">
        <v>4.0</v>
      </c>
      <c r="C142" s="9">
        <v>78.0</v>
      </c>
      <c r="D142" s="2">
        <v>1.5</v>
      </c>
      <c r="E142" s="2">
        <v>2.0</v>
      </c>
      <c r="F142" s="4">
        <f t="shared" si="25"/>
        <v>-0.5</v>
      </c>
      <c r="G142" s="4">
        <f t="shared" si="26"/>
        <v>0.25</v>
      </c>
    </row>
    <row r="143">
      <c r="G143" s="5">
        <f>SUM(G136:G142)</f>
        <v>2.5</v>
      </c>
    </row>
    <row r="146">
      <c r="B146" s="83"/>
      <c r="C146" s="83"/>
    </row>
    <row r="147">
      <c r="B147" s="82" t="s">
        <v>147</v>
      </c>
      <c r="C147" s="82" t="s">
        <v>148</v>
      </c>
      <c r="D147" s="3" t="s">
        <v>164</v>
      </c>
      <c r="E147" s="3" t="s">
        <v>165</v>
      </c>
      <c r="F147" s="3" t="s">
        <v>166</v>
      </c>
      <c r="G147" s="3" t="s">
        <v>169</v>
      </c>
    </row>
    <row r="148">
      <c r="B148" s="82">
        <v>8.0</v>
      </c>
      <c r="C148" s="82">
        <v>81.0</v>
      </c>
      <c r="D148" s="3">
        <v>1.5</v>
      </c>
      <c r="E148" s="3">
        <v>2.0</v>
      </c>
      <c r="F148" s="5">
        <f t="shared" ref="F148:F153" si="27">D148-E148</f>
        <v>-0.5</v>
      </c>
      <c r="G148" s="5">
        <f t="shared" ref="G148:G153" si="28">F148^2</f>
        <v>0.25</v>
      </c>
    </row>
    <row r="149">
      <c r="B149" s="82">
        <v>8.0</v>
      </c>
      <c r="C149" s="82">
        <v>80.0</v>
      </c>
      <c r="D149" s="5">
        <f>D148</f>
        <v>1.5</v>
      </c>
      <c r="E149" s="3">
        <v>3.5</v>
      </c>
      <c r="F149" s="5">
        <f t="shared" si="27"/>
        <v>-2</v>
      </c>
      <c r="G149" s="5">
        <f t="shared" si="28"/>
        <v>4</v>
      </c>
      <c r="H149" s="5">
        <f>6*G154</f>
        <v>195</v>
      </c>
      <c r="I149" s="5">
        <f>6*(6^2-1)</f>
        <v>210</v>
      </c>
    </row>
    <row r="150">
      <c r="B150" s="82">
        <v>6.0</v>
      </c>
      <c r="C150" s="82">
        <v>75.0</v>
      </c>
      <c r="D150" s="3">
        <v>3.5</v>
      </c>
      <c r="E150" s="3">
        <v>5.0</v>
      </c>
      <c r="F150" s="5">
        <f t="shared" si="27"/>
        <v>-1.5</v>
      </c>
      <c r="G150" s="5">
        <f t="shared" si="28"/>
        <v>2.25</v>
      </c>
      <c r="H150" s="5">
        <f>2^3-2</f>
        <v>6</v>
      </c>
      <c r="I150" s="5">
        <f>H152/I149</f>
        <v>0.9357142857</v>
      </c>
    </row>
    <row r="151">
      <c r="B151" s="82">
        <v>5.0</v>
      </c>
      <c r="C151" s="82">
        <v>65.0</v>
      </c>
      <c r="D151" s="3">
        <v>5.0</v>
      </c>
      <c r="E151" s="3">
        <v>6.0</v>
      </c>
      <c r="F151" s="5">
        <f t="shared" si="27"/>
        <v>-1</v>
      </c>
      <c r="G151" s="5">
        <f t="shared" si="28"/>
        <v>1</v>
      </c>
      <c r="H151" s="5">
        <f>H150/12</f>
        <v>0.5</v>
      </c>
      <c r="I151" s="88">
        <f>1-I150</f>
        <v>0.06428571429</v>
      </c>
    </row>
    <row r="152">
      <c r="B152" s="82">
        <v>1.0</v>
      </c>
      <c r="C152" s="82">
        <v>91.0</v>
      </c>
      <c r="D152" s="3">
        <v>6.0</v>
      </c>
      <c r="E152" s="3">
        <v>1.0</v>
      </c>
      <c r="F152" s="5">
        <f t="shared" si="27"/>
        <v>5</v>
      </c>
      <c r="G152" s="5">
        <f t="shared" si="28"/>
        <v>25</v>
      </c>
      <c r="H152" s="5">
        <f>H149+H151+H151+H151</f>
        <v>196.5</v>
      </c>
    </row>
    <row r="153">
      <c r="B153" s="82">
        <v>6.0</v>
      </c>
      <c r="C153" s="82">
        <v>80.0</v>
      </c>
      <c r="D153" s="3">
        <v>3.5</v>
      </c>
      <c r="E153" s="3">
        <v>3.5</v>
      </c>
      <c r="F153" s="5">
        <f t="shared" si="27"/>
        <v>0</v>
      </c>
      <c r="G153" s="5">
        <f t="shared" si="28"/>
        <v>0</v>
      </c>
    </row>
    <row r="154">
      <c r="B154" s="83"/>
      <c r="C154" s="83"/>
      <c r="G154" s="5">
        <f>SUM(G148:G153)</f>
        <v>32.5</v>
      </c>
    </row>
    <row r="159">
      <c r="B159" s="2" t="s">
        <v>160</v>
      </c>
      <c r="C159" s="2" t="s">
        <v>161</v>
      </c>
      <c r="D159" s="3" t="s">
        <v>164</v>
      </c>
      <c r="E159" s="3" t="s">
        <v>165</v>
      </c>
      <c r="F159" s="3" t="s">
        <v>166</v>
      </c>
      <c r="G159" s="3" t="s">
        <v>169</v>
      </c>
    </row>
    <row r="160">
      <c r="B160" s="2">
        <v>10.0</v>
      </c>
      <c r="C160" s="2">
        <v>2.0</v>
      </c>
      <c r="D160" s="2">
        <v>5.0</v>
      </c>
      <c r="E160" s="2">
        <v>5.0</v>
      </c>
      <c r="F160" s="4">
        <f t="shared" ref="F160:F164" si="29">D160-E160</f>
        <v>0</v>
      </c>
      <c r="G160" s="4">
        <f t="shared" ref="G160:G164" si="30">F160^2</f>
        <v>0</v>
      </c>
      <c r="I160" s="5">
        <f>6*G165</f>
        <v>45</v>
      </c>
      <c r="J160" s="5">
        <f>5*(5^2-1)</f>
        <v>120</v>
      </c>
    </row>
    <row r="161">
      <c r="B161" s="2">
        <v>11.0</v>
      </c>
      <c r="C161" s="2">
        <v>3.0</v>
      </c>
      <c r="D161" s="2">
        <v>4.0</v>
      </c>
      <c r="E161" s="2">
        <v>3.5</v>
      </c>
      <c r="F161" s="4">
        <f t="shared" si="29"/>
        <v>0.5</v>
      </c>
      <c r="G161" s="4">
        <f t="shared" si="30"/>
        <v>0.25</v>
      </c>
      <c r="I161" s="5">
        <f>I160+0.5</f>
        <v>45.5</v>
      </c>
      <c r="J161" s="5">
        <f>I161/J160</f>
        <v>0.3791666667</v>
      </c>
    </row>
    <row r="162">
      <c r="B162" s="2">
        <v>12.0</v>
      </c>
      <c r="C162" s="2">
        <v>8.0</v>
      </c>
      <c r="D162" s="2">
        <v>3.0</v>
      </c>
      <c r="E162" s="2">
        <v>1.0</v>
      </c>
      <c r="F162" s="4">
        <f t="shared" si="29"/>
        <v>2</v>
      </c>
      <c r="G162" s="4">
        <f t="shared" si="30"/>
        <v>4</v>
      </c>
      <c r="J162" s="95">
        <f>1-J161</f>
        <v>0.6208333333</v>
      </c>
    </row>
    <row r="163">
      <c r="B163" s="2">
        <v>14.0</v>
      </c>
      <c r="C163" s="2">
        <v>3.0</v>
      </c>
      <c r="D163" s="2">
        <v>2.0</v>
      </c>
      <c r="E163" s="2">
        <v>3.5</v>
      </c>
      <c r="F163" s="4">
        <f t="shared" si="29"/>
        <v>-1.5</v>
      </c>
      <c r="G163" s="4">
        <f t="shared" si="30"/>
        <v>2.25</v>
      </c>
    </row>
    <row r="164">
      <c r="B164" s="2">
        <v>15.0</v>
      </c>
      <c r="C164" s="2">
        <v>4.0</v>
      </c>
      <c r="D164" s="2">
        <v>1.0</v>
      </c>
      <c r="E164" s="2">
        <v>2.0</v>
      </c>
      <c r="F164" s="4">
        <f t="shared" si="29"/>
        <v>-1</v>
      </c>
      <c r="G164" s="4">
        <f t="shared" si="30"/>
        <v>1</v>
      </c>
    </row>
    <row r="165">
      <c r="G165" s="5">
        <f>SUM(G160:G164)</f>
        <v>7.5</v>
      </c>
    </row>
    <row r="171">
      <c r="B171" s="2" t="s">
        <v>133</v>
      </c>
      <c r="C171" s="2" t="s">
        <v>28</v>
      </c>
      <c r="D171" s="2" t="s">
        <v>164</v>
      </c>
      <c r="E171" s="2" t="s">
        <v>165</v>
      </c>
      <c r="F171" s="2" t="s">
        <v>166</v>
      </c>
      <c r="G171" s="2" t="s">
        <v>169</v>
      </c>
    </row>
    <row r="172">
      <c r="B172" s="2">
        <v>20.0</v>
      </c>
      <c r="C172" s="2">
        <v>6.0</v>
      </c>
      <c r="D172" s="2">
        <v>5.0</v>
      </c>
      <c r="E172" s="2">
        <v>1.0</v>
      </c>
      <c r="F172" s="4">
        <f t="shared" ref="F172:F176" si="31">D172-E172</f>
        <v>4</v>
      </c>
      <c r="G172" s="4">
        <f t="shared" ref="G172:G176" si="32">F172^2</f>
        <v>16</v>
      </c>
    </row>
    <row r="173">
      <c r="B173" s="2">
        <v>21.0</v>
      </c>
      <c r="C173" s="2">
        <v>4.0</v>
      </c>
      <c r="D173" s="2">
        <v>4.0</v>
      </c>
      <c r="E173" s="2">
        <v>3.5</v>
      </c>
      <c r="F173" s="4">
        <f t="shared" si="31"/>
        <v>0.5</v>
      </c>
      <c r="G173" s="4">
        <f t="shared" si="32"/>
        <v>0.25</v>
      </c>
      <c r="I173" s="5">
        <f>6*G177</f>
        <v>195</v>
      </c>
      <c r="J173" s="5">
        <f>5*(5^2-1)</f>
        <v>120</v>
      </c>
    </row>
    <row r="174">
      <c r="B174" s="2">
        <v>22.0</v>
      </c>
      <c r="C174" s="2">
        <v>5.0</v>
      </c>
      <c r="D174" s="2">
        <v>3.0</v>
      </c>
      <c r="E174" s="2">
        <v>2.0</v>
      </c>
      <c r="F174" s="4">
        <f t="shared" si="31"/>
        <v>1</v>
      </c>
      <c r="G174" s="4">
        <f t="shared" si="32"/>
        <v>1</v>
      </c>
      <c r="I174" s="5">
        <f>195.5</f>
        <v>195.5</v>
      </c>
      <c r="J174" s="5">
        <f>I174/J173</f>
        <v>1.629166667</v>
      </c>
    </row>
    <row r="175">
      <c r="B175" s="2">
        <v>23.0</v>
      </c>
      <c r="C175" s="2">
        <v>1.0</v>
      </c>
      <c r="D175" s="2">
        <v>2.0</v>
      </c>
      <c r="E175" s="2">
        <v>5.0</v>
      </c>
      <c r="F175" s="4">
        <f t="shared" si="31"/>
        <v>-3</v>
      </c>
      <c r="G175" s="4">
        <f t="shared" si="32"/>
        <v>9</v>
      </c>
      <c r="J175" s="85">
        <f>1-J174</f>
        <v>-0.6291666667</v>
      </c>
    </row>
    <row r="176">
      <c r="B176" s="2">
        <v>24.0</v>
      </c>
      <c r="C176" s="2">
        <v>4.0</v>
      </c>
      <c r="D176" s="2">
        <v>1.0</v>
      </c>
      <c r="E176" s="2">
        <v>3.5</v>
      </c>
      <c r="F176" s="4">
        <f t="shared" si="31"/>
        <v>-2.5</v>
      </c>
      <c r="G176" s="4">
        <f t="shared" si="32"/>
        <v>6.25</v>
      </c>
    </row>
    <row r="177">
      <c r="G177" s="5">
        <f>SUM(G172:G176)</f>
        <v>32.5</v>
      </c>
    </row>
  </sheetData>
  <drawing r:id="rId1"/>
</worksheet>
</file>